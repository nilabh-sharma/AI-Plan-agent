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/>
  </bookViews>
  <sheets>
    <sheet name="Roadmap Reference" sheetId="6" r:id="rId1"/>
    <sheet name="Training_Material" sheetId="3" r:id="rId2"/>
    <sheet name="Tracker" sheetId="2" r:id="rId3"/>
    <sheet name="Evidence" sheetId="4" state="hidden" r:id="rId4"/>
    <sheet name="Settings" sheetId="5" state="hidden" r:id="rId5"/>
    <sheet name="Dashboard" sheetId="1" state="hidden" r:id="rId6"/>
  </sheets>
  <definedNames>
    <definedName name="_xlnm._FilterDatabase" localSheetId="2" hidden="1">Tracker!$A$4:$P$96</definedName>
  </definedNames>
  <calcPr calcId="12451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5"/>
  <c r="C13"/>
  <c r="H77" i="2" s="1"/>
  <c r="C12" i="5"/>
  <c r="H90" i="2" s="1"/>
  <c r="C11" i="5"/>
  <c r="H13" i="2" s="1"/>
  <c r="B5" i="5"/>
  <c r="O94" i="2" s="1"/>
  <c r="P94" s="1"/>
  <c r="J18" i="3"/>
  <c r="J17"/>
  <c r="J16"/>
  <c r="J15"/>
  <c r="J14"/>
  <c r="J13"/>
  <c r="J12"/>
  <c r="J11"/>
  <c r="J10"/>
  <c r="J9"/>
  <c r="J8"/>
  <c r="J7"/>
  <c r="J6"/>
  <c r="J5"/>
  <c r="H96" i="2"/>
  <c r="H95"/>
  <c r="H94"/>
  <c r="H92"/>
  <c r="H91"/>
  <c r="H89"/>
  <c r="H88"/>
  <c r="H87"/>
  <c r="H86"/>
  <c r="H85"/>
  <c r="H84"/>
  <c r="H83"/>
  <c r="H82"/>
  <c r="H81"/>
  <c r="H80"/>
  <c r="H79"/>
  <c r="H78"/>
  <c r="H76"/>
  <c r="H75"/>
  <c r="H74"/>
  <c r="H73"/>
  <c r="H72"/>
  <c r="H71"/>
  <c r="H70"/>
  <c r="H68"/>
  <c r="H67"/>
  <c r="H66"/>
  <c r="H65"/>
  <c r="H64"/>
  <c r="H63"/>
  <c r="H62"/>
  <c r="H61"/>
  <c r="H60"/>
  <c r="H59"/>
  <c r="H58"/>
  <c r="H57"/>
  <c r="H56"/>
  <c r="H55"/>
  <c r="H54"/>
  <c r="H52"/>
  <c r="H51"/>
  <c r="H50"/>
  <c r="H49"/>
  <c r="H48"/>
  <c r="H47"/>
  <c r="H46"/>
  <c r="H44"/>
  <c r="H43"/>
  <c r="H42"/>
  <c r="H41"/>
  <c r="H40"/>
  <c r="H39"/>
  <c r="H38"/>
  <c r="H36"/>
  <c r="H35"/>
  <c r="H34"/>
  <c r="H33"/>
  <c r="H32"/>
  <c r="H31"/>
  <c r="H30"/>
  <c r="H28"/>
  <c r="H27"/>
  <c r="H26"/>
  <c r="H25"/>
  <c r="H24"/>
  <c r="H23"/>
  <c r="H22"/>
  <c r="H20"/>
  <c r="H19"/>
  <c r="H18"/>
  <c r="H17"/>
  <c r="H16"/>
  <c r="H15"/>
  <c r="H14"/>
  <c r="H12"/>
  <c r="H11"/>
  <c r="H10"/>
  <c r="H9"/>
  <c r="H8"/>
  <c r="H7"/>
  <c r="H6"/>
  <c r="H24" i="1"/>
  <c r="G24"/>
  <c r="F24"/>
  <c r="E24"/>
  <c r="D24"/>
  <c r="C24"/>
  <c r="H23"/>
  <c r="G23"/>
  <c r="F23"/>
  <c r="E23"/>
  <c r="D23"/>
  <c r="C23"/>
  <c r="H22"/>
  <c r="G22"/>
  <c r="F22"/>
  <c r="E22"/>
  <c r="D22"/>
  <c r="C22"/>
  <c r="H21"/>
  <c r="G21"/>
  <c r="F21"/>
  <c r="E21"/>
  <c r="D21"/>
  <c r="C21"/>
  <c r="H20"/>
  <c r="G20"/>
  <c r="F20"/>
  <c r="E20"/>
  <c r="D20"/>
  <c r="C20"/>
  <c r="H19"/>
  <c r="G19"/>
  <c r="F19"/>
  <c r="E19"/>
  <c r="D19"/>
  <c r="C19"/>
  <c r="H13"/>
  <c r="G13"/>
  <c r="F13"/>
  <c r="E13"/>
  <c r="D13"/>
  <c r="C13"/>
  <c r="B13"/>
  <c r="H12"/>
  <c r="G12"/>
  <c r="F12"/>
  <c r="E12"/>
  <c r="D12"/>
  <c r="C12"/>
  <c r="B12"/>
  <c r="H11"/>
  <c r="G11"/>
  <c r="F11"/>
  <c r="E11"/>
  <c r="D11"/>
  <c r="C11"/>
  <c r="B11"/>
  <c r="H10"/>
  <c r="G10"/>
  <c r="F10"/>
  <c r="E10"/>
  <c r="D10"/>
  <c r="C10"/>
  <c r="C14" s="1"/>
  <c r="B10"/>
  <c r="K5"/>
  <c r="I5"/>
  <c r="E5"/>
  <c r="I10" l="1"/>
  <c r="G25"/>
  <c r="F14"/>
  <c r="E14"/>
  <c r="I13"/>
  <c r="F25"/>
  <c r="I22"/>
  <c r="H14"/>
  <c r="I11"/>
  <c r="G14"/>
  <c r="I12"/>
  <c r="O67" i="2"/>
  <c r="P67" s="1"/>
  <c r="I20" i="1"/>
  <c r="I24"/>
  <c r="C25"/>
  <c r="H25"/>
  <c r="D25"/>
  <c r="E25"/>
  <c r="I19"/>
  <c r="I23"/>
  <c r="O59" i="2"/>
  <c r="P59" s="1"/>
  <c r="O56"/>
  <c r="P56" s="1"/>
  <c r="O27"/>
  <c r="P27" s="1"/>
  <c r="O24"/>
  <c r="P24" s="1"/>
  <c r="O72"/>
  <c r="P72" s="1"/>
  <c r="O32"/>
  <c r="P32" s="1"/>
  <c r="O75"/>
  <c r="P75" s="1"/>
  <c r="O83"/>
  <c r="P83" s="1"/>
  <c r="O91"/>
  <c r="P91" s="1"/>
  <c r="O11"/>
  <c r="P11" s="1"/>
  <c r="O43"/>
  <c r="P43" s="1"/>
  <c r="O35"/>
  <c r="P35" s="1"/>
  <c r="O16"/>
  <c r="P16" s="1"/>
  <c r="O48"/>
  <c r="P48" s="1"/>
  <c r="B6" i="5"/>
  <c r="B7" s="1"/>
  <c r="C5" i="1" s="1"/>
  <c r="O8" i="2"/>
  <c r="P8" s="1"/>
  <c r="O40"/>
  <c r="P40" s="1"/>
  <c r="O19"/>
  <c r="P19" s="1"/>
  <c r="O51"/>
  <c r="P51" s="1"/>
  <c r="O64"/>
  <c r="P64" s="1"/>
  <c r="O77"/>
  <c r="P77" s="1"/>
  <c r="H5"/>
  <c r="O5" s="1"/>
  <c r="O10"/>
  <c r="O18"/>
  <c r="P18" s="1"/>
  <c r="H21"/>
  <c r="O21" s="1"/>
  <c r="P21" s="1"/>
  <c r="O26"/>
  <c r="P26" s="1"/>
  <c r="H29"/>
  <c r="O34"/>
  <c r="P34" s="1"/>
  <c r="H37"/>
  <c r="O37" s="1"/>
  <c r="P37" s="1"/>
  <c r="O42"/>
  <c r="P42" s="1"/>
  <c r="H45"/>
  <c r="O45" s="1"/>
  <c r="P45" s="1"/>
  <c r="O50"/>
  <c r="P50" s="1"/>
  <c r="H53"/>
  <c r="O53" s="1"/>
  <c r="P53" s="1"/>
  <c r="O58"/>
  <c r="P58" s="1"/>
  <c r="O66"/>
  <c r="P66" s="1"/>
  <c r="H69"/>
  <c r="O69" s="1"/>
  <c r="P69" s="1"/>
  <c r="O74"/>
  <c r="P74" s="1"/>
  <c r="O82"/>
  <c r="P82" s="1"/>
  <c r="O90"/>
  <c r="P90" s="1"/>
  <c r="H93"/>
  <c r="O93" s="1"/>
  <c r="O96"/>
  <c r="P96" s="1"/>
  <c r="O7"/>
  <c r="O15"/>
  <c r="P15" s="1"/>
  <c r="O23"/>
  <c r="P23" s="1"/>
  <c r="O31"/>
  <c r="P31" s="1"/>
  <c r="O39"/>
  <c r="P39" s="1"/>
  <c r="O47"/>
  <c r="P47" s="1"/>
  <c r="O55"/>
  <c r="P55" s="1"/>
  <c r="O63"/>
  <c r="P63" s="1"/>
  <c r="O71"/>
  <c r="P71" s="1"/>
  <c r="O79"/>
  <c r="P79" s="1"/>
  <c r="O87"/>
  <c r="P87" s="1"/>
  <c r="O95"/>
  <c r="P95" s="1"/>
  <c r="O88"/>
  <c r="P88" s="1"/>
  <c r="D14" i="1"/>
  <c r="I14" s="1"/>
  <c r="O13" i="2"/>
  <c r="P13" s="1"/>
  <c r="O29"/>
  <c r="P29" s="1"/>
  <c r="O61"/>
  <c r="P61" s="1"/>
  <c r="O85"/>
  <c r="P85" s="1"/>
  <c r="A5" i="1"/>
  <c r="I21"/>
  <c r="O12" i="2"/>
  <c r="P12" s="1"/>
  <c r="O20"/>
  <c r="P20" s="1"/>
  <c r="O28"/>
  <c r="P28" s="1"/>
  <c r="O36"/>
  <c r="P36" s="1"/>
  <c r="O44"/>
  <c r="P44" s="1"/>
  <c r="O52"/>
  <c r="P52" s="1"/>
  <c r="O60"/>
  <c r="P60" s="1"/>
  <c r="O68"/>
  <c r="P68" s="1"/>
  <c r="O76"/>
  <c r="P76" s="1"/>
  <c r="O84"/>
  <c r="P84" s="1"/>
  <c r="O92"/>
  <c r="P92" s="1"/>
  <c r="O9"/>
  <c r="O17"/>
  <c r="O25"/>
  <c r="P25" s="1"/>
  <c r="O33"/>
  <c r="P33" s="1"/>
  <c r="O41"/>
  <c r="P41" s="1"/>
  <c r="O49"/>
  <c r="P49" s="1"/>
  <c r="O57"/>
  <c r="P57" s="1"/>
  <c r="O65"/>
  <c r="P65" s="1"/>
  <c r="O73"/>
  <c r="P73" s="1"/>
  <c r="O81"/>
  <c r="P81" s="1"/>
  <c r="O89"/>
  <c r="P89" s="1"/>
  <c r="O80"/>
  <c r="P80" s="1"/>
  <c r="O6"/>
  <c r="O14"/>
  <c r="P14" s="1"/>
  <c r="O22"/>
  <c r="P22" s="1"/>
  <c r="O30"/>
  <c r="P30" s="1"/>
  <c r="O38"/>
  <c r="P38" s="1"/>
  <c r="O46"/>
  <c r="P46" s="1"/>
  <c r="O54"/>
  <c r="O62"/>
  <c r="O70"/>
  <c r="P70" s="1"/>
  <c r="O78"/>
  <c r="P78" s="1"/>
  <c r="O86"/>
  <c r="P86" s="1"/>
  <c r="I25" i="1" l="1"/>
  <c r="P93" i="2"/>
  <c r="J22" i="1"/>
  <c r="J10"/>
  <c r="G5"/>
  <c r="J19"/>
  <c r="P5" i="2"/>
  <c r="J21" i="1"/>
  <c r="P7" i="2"/>
  <c r="P6"/>
  <c r="J20" i="1"/>
  <c r="P9" i="2"/>
  <c r="J23" i="1"/>
  <c r="J11"/>
  <c r="P17" i="2"/>
  <c r="P54"/>
  <c r="J12" i="1"/>
  <c r="P62" i="2"/>
  <c r="J13" i="1"/>
  <c r="J24"/>
  <c r="P10" i="2"/>
  <c r="J14" i="1" l="1"/>
  <c r="J25"/>
</calcChain>
</file>

<file path=xl/comments1.xml><?xml version="1.0" encoding="utf-8"?>
<comments xmlns="http://schemas.openxmlformats.org/spreadsheetml/2006/main">
  <authors>
    <author>Unknown Author</author>
  </authors>
  <commentList>
    <comment ref="B4" authorId="0">
      <text>
        <r>
          <rPr>
            <sz val="10"/>
            <rFont val="Arial"/>
            <family val="2"/>
          </rPr>
          <t>Given by Nilabh: program started 1 Aug 2026.</t>
        </r>
      </text>
    </comment>
    <comment ref="B11" authorId="0">
      <text>
        <r>
          <rPr>
            <sz val="10"/>
            <rFont val="Arial"/>
            <family val="2"/>
          </rPr>
          <t>Assumption: the workbook gives no date for 'Initial'. Set to Day 14; change if needed.</t>
        </r>
      </text>
    </comment>
  </commentList>
</comments>
</file>

<file path=xl/sharedStrings.xml><?xml version="1.0" encoding="utf-8"?>
<sst xmlns="http://schemas.openxmlformats.org/spreadsheetml/2006/main" count="1048" uniqueCount="238">
  <si>
    <t>AI Modernization Plan — Dashboard</t>
  </si>
  <si>
    <t>All figures calculate from the Tracker, Training and Evidence tabs. Nothing to edit here.</t>
  </si>
  <si>
    <t>Program day</t>
  </si>
  <si>
    <t>Current phase</t>
  </si>
  <si>
    <t>Overall % done</t>
  </si>
  <si>
    <t>Overdue items</t>
  </si>
  <si>
    <t>Blocked items</t>
  </si>
  <si>
    <t>Training modules rolled out</t>
  </si>
  <si>
    <t>By phase</t>
  </si>
  <si>
    <t>Phase</t>
  </si>
  <si>
    <t>Due date</t>
  </si>
  <si>
    <t>Items</t>
  </si>
  <si>
    <t>Done</t>
  </si>
  <si>
    <t>In progress</t>
  </si>
  <si>
    <t>Blocked</t>
  </si>
  <si>
    <t>Not started</t>
  </si>
  <si>
    <t>N/A</t>
  </si>
  <si>
    <t>% done</t>
  </si>
  <si>
    <t>Overdue</t>
  </si>
  <si>
    <t>Initial</t>
  </si>
  <si>
    <t>30 Day</t>
  </si>
  <si>
    <t>60 Day</t>
  </si>
  <si>
    <t>90 Day</t>
  </si>
  <si>
    <t>Total</t>
  </si>
  <si>
    <t>By role</t>
  </si>
  <si>
    <t>Role</t>
  </si>
  <si>
    <t>Informatica Dev</t>
  </si>
  <si>
    <t>—</t>
  </si>
  <si>
    <t>Databricks Dev</t>
  </si>
  <si>
    <t>QE / Testers</t>
  </si>
  <si>
    <t>Data / Requirements Analyst</t>
  </si>
  <si>
    <t>Java Dev</t>
  </si>
  <si>
    <t>Orchestration</t>
  </si>
  <si>
    <t>How to use: leads update the Status column on the Tracker tab weekly. Overdue = past the phase due date and not Done/N/A. Change Day 0 or phase days on Settings.</t>
  </si>
  <si>
    <t>AI Modernization Tracker</t>
  </si>
  <si>
    <t>ID</t>
  </si>
  <si>
    <t>#</t>
  </si>
  <si>
    <t>Capability Area</t>
  </si>
  <si>
    <t>Tool</t>
  </si>
  <si>
    <t>Capability</t>
  </si>
  <si>
    <t>Due Date</t>
  </si>
  <si>
    <t>Owner</t>
  </si>
  <si>
    <t>Status</t>
  </si>
  <si>
    <t>Started</t>
  </si>
  <si>
    <t>Completed</t>
  </si>
  <si>
    <t>Evidence link</t>
  </si>
  <si>
    <t>Notes</t>
  </si>
  <si>
    <t>Days late</t>
  </si>
  <si>
    <t>C01-R1</t>
  </si>
  <si>
    <t>Foundation</t>
  </si>
  <si>
    <t>AI DLC</t>
  </si>
  <si>
    <t>AI DLC Overview</t>
  </si>
  <si>
    <t>C01-R2</t>
  </si>
  <si>
    <t>C01-R3</t>
  </si>
  <si>
    <t>C01-R4</t>
  </si>
  <si>
    <t>C01-R5</t>
  </si>
  <si>
    <t>C01-R6</t>
  </si>
  <si>
    <t>C02-R1</t>
  </si>
  <si>
    <t>Training</t>
  </si>
  <si>
    <t>AI fundamentals / onboarding</t>
  </si>
  <si>
    <t>C02-R2</t>
  </si>
  <si>
    <t>C02-R3</t>
  </si>
  <si>
    <t>C02-R4</t>
  </si>
  <si>
    <t>C02-R5</t>
  </si>
  <si>
    <t>C02-R6</t>
  </si>
  <si>
    <t>C03-R1</t>
  </si>
  <si>
    <t>Core Copilot – Developer Productivity</t>
  </si>
  <si>
    <t>GHCP</t>
  </si>
  <si>
    <t>Install and configure VSCode with GHCP plug-in, GitHub, Databricks</t>
  </si>
  <si>
    <t>C03-R2</t>
  </si>
  <si>
    <t>C03-R3</t>
  </si>
  <si>
    <t>C03-R4</t>
  </si>
  <si>
    <t>C03-R5</t>
  </si>
  <si>
    <t>C03-R6</t>
  </si>
  <si>
    <t>C04-R1</t>
  </si>
  <si>
    <t>Explain complex code</t>
  </si>
  <si>
    <t>C04-R2</t>
  </si>
  <si>
    <t>C04-R3</t>
  </si>
  <si>
    <t>C04-R5</t>
  </si>
  <si>
    <t>C05-R1</t>
  </si>
  <si>
    <t>Unit test creation</t>
  </si>
  <si>
    <t>C05-R2</t>
  </si>
  <si>
    <t>C05-R3</t>
  </si>
  <si>
    <t>C05-R5</t>
  </si>
  <si>
    <t>C06-R1</t>
  </si>
  <si>
    <t>Unit test execution</t>
  </si>
  <si>
    <t>C06-R2</t>
  </si>
  <si>
    <t>C06-R3</t>
  </si>
  <si>
    <t>C06-R5</t>
  </si>
  <si>
    <t>C07-R1</t>
  </si>
  <si>
    <t>Add comments to code</t>
  </si>
  <si>
    <t>C07-R2</t>
  </si>
  <si>
    <t>C07-R5</t>
  </si>
  <si>
    <t>C08-R1</t>
  </si>
  <si>
    <t>Code quality reviews</t>
  </si>
  <si>
    <t>C08-R2</t>
  </si>
  <si>
    <t>C08-R3</t>
  </si>
  <si>
    <t>C08-R5</t>
  </si>
  <si>
    <t>C09-R1</t>
  </si>
  <si>
    <t>Identify / fix vulnerabilities in code</t>
  </si>
  <si>
    <t>C09-R2</t>
  </si>
  <si>
    <t>C09-R3</t>
  </si>
  <si>
    <t>C09-R5</t>
  </si>
  <si>
    <t>C09-R6</t>
  </si>
  <si>
    <t>C10-R1</t>
  </si>
  <si>
    <t>Generate code from comments</t>
  </si>
  <si>
    <t>C10-R2</t>
  </si>
  <si>
    <t>C10-R5</t>
  </si>
  <si>
    <t>C11-R1</t>
  </si>
  <si>
    <t>Generate README documentation</t>
  </si>
  <si>
    <t>C11-R2</t>
  </si>
  <si>
    <t>C11-R5</t>
  </si>
  <si>
    <t>C12-R6</t>
  </si>
  <si>
    <t>Identify / fix infrastructure vulnerabilities</t>
  </si>
  <si>
    <t>C13-R1</t>
  </si>
  <si>
    <t>Databricks Genie – Platform-Native Assist</t>
  </si>
  <si>
    <t>Databricks / Genie</t>
  </si>
  <si>
    <t>C14-R1</t>
  </si>
  <si>
    <t>C15-R1</t>
  </si>
  <si>
    <t>C16-R1</t>
  </si>
  <si>
    <t>C17-R1</t>
  </si>
  <si>
    <t>C18-R1</t>
  </si>
  <si>
    <t>C19-R1</t>
  </si>
  <si>
    <t>C20-R1</t>
  </si>
  <si>
    <t>C21-R1</t>
  </si>
  <si>
    <t>Agentic Development</t>
  </si>
  <si>
    <t>Create / Utilize Agents - Requirements</t>
  </si>
  <si>
    <t>C21-R2</t>
  </si>
  <si>
    <t>C21-R4</t>
  </si>
  <si>
    <t>C21-R5</t>
  </si>
  <si>
    <t>C22-R1</t>
  </si>
  <si>
    <t>Create / Utilize Agents - Testing</t>
  </si>
  <si>
    <t>C22-R2</t>
  </si>
  <si>
    <t>C22-R3</t>
  </si>
  <si>
    <t>C22-R5</t>
  </si>
  <si>
    <t>C23-R1</t>
  </si>
  <si>
    <t>Create / Utilize Agents - Documentation</t>
  </si>
  <si>
    <t>C23-R2</t>
  </si>
  <si>
    <t>C23-R4</t>
  </si>
  <si>
    <t>C23-R5</t>
  </si>
  <si>
    <t>C24-R1</t>
  </si>
  <si>
    <t>Create / Utilize Agents - Code Review</t>
  </si>
  <si>
    <t>C24-R2</t>
  </si>
  <si>
    <t>C24-R3</t>
  </si>
  <si>
    <t>C24-R5</t>
  </si>
  <si>
    <t>C25-R1</t>
  </si>
  <si>
    <t>Create / Utilize Agents - CI/CD</t>
  </si>
  <si>
    <t>C25-R2</t>
  </si>
  <si>
    <t>C25-R5</t>
  </si>
  <si>
    <t>C25-R6</t>
  </si>
  <si>
    <t>C26-R1</t>
  </si>
  <si>
    <t>Create / Utilize Agents - Code Development</t>
  </si>
  <si>
    <t>C26-R2</t>
  </si>
  <si>
    <t>C26-R5</t>
  </si>
  <si>
    <t>C27-R1</t>
  </si>
  <si>
    <t>Create / Utilize Agents - Vulnerability Remediation</t>
  </si>
  <si>
    <t>C27-R2</t>
  </si>
  <si>
    <t>C27-R3</t>
  </si>
  <si>
    <t>C27-R5</t>
  </si>
  <si>
    <t>C27-R6</t>
  </si>
  <si>
    <t>C28-R3</t>
  </si>
  <si>
    <t>Analyst &amp; QA Enablement</t>
  </si>
  <si>
    <t>Glean / Microsoft 365 Copilot</t>
  </si>
  <si>
    <t>Test plan / test case creation</t>
  </si>
  <si>
    <t>C29-R3</t>
  </si>
  <si>
    <t>Generate validation SQL from source-to-target mappings</t>
  </si>
  <si>
    <t>C29-R4</t>
  </si>
  <si>
    <t>C30-R4</t>
  </si>
  <si>
    <t>Understand current state design</t>
  </si>
  <si>
    <t>C31-R4</t>
  </si>
  <si>
    <t>Automate data modeling tasks</t>
  </si>
  <si>
    <t>C32-R4</t>
  </si>
  <si>
    <t>Automate mapping tasks</t>
  </si>
  <si>
    <t>C33-R3</t>
  </si>
  <si>
    <t>Automate documentation for RAI</t>
  </si>
  <si>
    <t>Training Rollout</t>
  </si>
  <si>
    <t>Module</t>
  </si>
  <si>
    <t>Target audience</t>
  </si>
  <si>
    <t>Format</t>
  </si>
  <si>
    <t>Planned date</t>
  </si>
  <si>
    <t>Audience size</t>
  </si>
  <si>
    <t>% complete</t>
  </si>
  <si>
    <t>Notes / link</t>
  </si>
  <si>
    <t>AI fundamentals</t>
  </si>
  <si>
    <t>All</t>
  </si>
  <si>
    <t>Video</t>
  </si>
  <si>
    <t>GHCP VSCode - Workspace Setup</t>
  </si>
  <si>
    <t>GitHub Copilot Basics</t>
  </si>
  <si>
    <t>Source-to-Target Mappings with AI</t>
  </si>
  <si>
    <t>Data / Requirements Analysts</t>
  </si>
  <si>
    <t>Training Analysis Tasks and Lab Session</t>
  </si>
  <si>
    <t>Understanding a Data Field using Glean</t>
  </si>
  <si>
    <t>Training Databricks - Genie VSCode</t>
  </si>
  <si>
    <t>Java / Python PySpark ETL developers</t>
  </si>
  <si>
    <t>Workspace Setup Databricks</t>
  </si>
  <si>
    <t>GitHub Copilot Advance - Part 1</t>
  </si>
  <si>
    <t>GitHub Copilot Advance - Part 2</t>
  </si>
  <si>
    <t>Glean Test Strategy</t>
  </si>
  <si>
    <t>QA / Testers</t>
  </si>
  <si>
    <t>Test Data Creation</t>
  </si>
  <si>
    <t>Training DX Metrics Tasks</t>
  </si>
  <si>
    <t>Tech Leads / Agile Leaders / SEPMs</t>
  </si>
  <si>
    <t>Other Additional Training</t>
  </si>
  <si>
    <t>Optional</t>
  </si>
  <si>
    <t>Mixed</t>
  </si>
  <si>
    <t>Evidence to Retain</t>
  </si>
  <si>
    <t>What we collect to show adoption at Day 90.</t>
  </si>
  <si>
    <t>Evidence</t>
  </si>
  <si>
    <t>Examples collected</t>
  </si>
  <si>
    <t>Where it lives (link)</t>
  </si>
  <si>
    <t>Training completion</t>
  </si>
  <si>
    <t>Sample use cases</t>
  </si>
  <si>
    <t>Generated test cases</t>
  </si>
  <si>
    <t>Code-review examples</t>
  </si>
  <si>
    <t>Documentation examples</t>
  </si>
  <si>
    <t>Approved AI usage examples</t>
  </si>
  <si>
    <t>Settings</t>
  </si>
  <si>
    <t>Yellow cells are inputs. Everything else calculates from them.</t>
  </si>
  <si>
    <t>Program start (Day 0)</t>
  </si>
  <si>
    <t>Today</t>
  </si>
  <si>
    <t>Due on day</t>
  </si>
  <si>
    <t>Focus</t>
  </si>
  <si>
    <t>AI DLC overview and AI fundamentals for everyone.</t>
  </si>
  <si>
    <t>AI fundamentals, tool setup, code assistance, testing, documentation and basic security use cases.</t>
  </si>
  <si>
    <t>Databricks / Genie, broader AI-assisted delivery and initial agent use cases.</t>
  </si>
  <si>
    <t>Advanced agent-based use cases and deeper automation across the delivery lifecycle.</t>
  </si>
  <si>
    <t>Status values</t>
  </si>
  <si>
    <t>Meaning</t>
  </si>
  <si>
    <t>Default</t>
  </si>
  <si>
    <t>Some of the role has started using it</t>
  </si>
  <si>
    <t>Whole role uses it in real work</t>
  </si>
  <si>
    <t>Access, tooling or time issue — add a note</t>
  </si>
  <si>
    <t>Descoped for this team</t>
  </si>
  <si>
    <t>Infra Team</t>
  </si>
  <si>
    <t>Orchestration, Infra</t>
  </si>
  <si>
    <t>AI Adoption</t>
  </si>
  <si>
    <t>30-60-90 day Roadmap</t>
  </si>
  <si>
    <t>Teams</t>
  </si>
</sst>
</file>

<file path=xl/styles.xml><?xml version="1.0" encoding="utf-8"?>
<styleSheet xmlns="http://schemas.openxmlformats.org/spreadsheetml/2006/main">
  <numFmts count="2">
    <numFmt numFmtId="164" formatCode="dd\-mmm\-yy"/>
    <numFmt numFmtId="165" formatCode="dd\-mmm\-yyyy"/>
  </numFmts>
  <fonts count="13">
    <font>
      <sz val="11"/>
      <color theme="1"/>
      <name val="Calibri"/>
      <family val="2"/>
      <charset val="1"/>
    </font>
    <font>
      <b/>
      <sz val="16"/>
      <color rgb="FF11201D"/>
      <name val="Arial"/>
      <charset val="1"/>
    </font>
    <font>
      <i/>
      <sz val="10"/>
      <color rgb="FF5B6862"/>
      <name val="Arial"/>
      <charset val="1"/>
    </font>
    <font>
      <sz val="9"/>
      <color rgb="FF5B6862"/>
      <name val="Arial"/>
      <charset val="1"/>
    </font>
    <font>
      <b/>
      <sz val="18"/>
      <color rgb="FF11201D"/>
      <name val="Arial"/>
      <charset val="1"/>
    </font>
    <font>
      <b/>
      <sz val="18"/>
      <color rgb="FFC23B32"/>
      <name val="Arial"/>
      <charset val="1"/>
    </font>
    <font>
      <b/>
      <sz val="12"/>
      <color rgb="FF11201D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5B6862"/>
      <name val="Arial"/>
      <charset val="1"/>
    </font>
    <font>
      <sz val="10"/>
      <color rgb="FF0000FF"/>
      <name val="Arial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E6B5C"/>
        <bgColor rgb="FF008080"/>
      </patternFill>
    </fill>
    <fill>
      <patternFill patternType="solid">
        <fgColor rgb="FFFFF7D6"/>
        <bgColor rgb="FFF8ECD0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CBD3CD"/>
      </left>
      <right style="thin">
        <color rgb="FFCBD3CD"/>
      </right>
      <top style="thin">
        <color rgb="FFCBD3CD"/>
      </top>
      <bottom style="thin">
        <color rgb="FFCBD3CD"/>
      </bottom>
      <diagonal/>
    </border>
    <border>
      <left style="thin">
        <color rgb="FFCBD3CD"/>
      </left>
      <right style="thin">
        <color rgb="FFCBD3CD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BD3CD"/>
      </left>
      <right style="thin">
        <color rgb="FFCBD3CD"/>
      </right>
      <top/>
      <bottom style="thin">
        <color rgb="FFCBD3CD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9" fontId="4" fillId="0" borderId="0" xfId="0" applyNumberFormat="1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vertical="center" wrapText="1"/>
    </xf>
    <xf numFmtId="0" fontId="8" fillId="0" borderId="1" xfId="0" applyFont="1" applyBorder="1"/>
    <xf numFmtId="164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0" fontId="8" fillId="0" borderId="0" xfId="0" applyFont="1"/>
    <xf numFmtId="0" fontId="8" fillId="0" borderId="1" xfId="0" applyFont="1" applyBorder="1" applyAlignment="1">
      <alignment horizontal="center"/>
    </xf>
    <xf numFmtId="9" fontId="8" fillId="0" borderId="1" xfId="0" applyNumberFormat="1" applyFont="1" applyBorder="1" applyAlignment="1">
      <alignment horizontal="center"/>
    </xf>
    <xf numFmtId="0" fontId="10" fillId="0" borderId="0" xfId="0" applyFont="1"/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vertical="top" wrapText="1"/>
    </xf>
    <xf numFmtId="164" fontId="9" fillId="0" borderId="1" xfId="0" applyNumberFormat="1" applyFont="1" applyBorder="1" applyAlignment="1">
      <alignment vertical="top"/>
    </xf>
    <xf numFmtId="0" fontId="11" fillId="3" borderId="1" xfId="0" applyFont="1" applyFill="1" applyBorder="1" applyAlignment="1">
      <alignment vertical="top"/>
    </xf>
    <xf numFmtId="164" fontId="11" fillId="3" borderId="1" xfId="0" applyNumberFormat="1" applyFont="1" applyFill="1" applyBorder="1" applyAlignment="1">
      <alignment vertical="top"/>
    </xf>
    <xf numFmtId="0" fontId="11" fillId="3" borderId="1" xfId="0" applyFont="1" applyFill="1" applyBorder="1" applyAlignment="1">
      <alignment vertical="top" wrapText="1"/>
    </xf>
    <xf numFmtId="0" fontId="9" fillId="0" borderId="1" xfId="0" applyFont="1" applyBorder="1"/>
    <xf numFmtId="0" fontId="11" fillId="3" borderId="1" xfId="0" applyFont="1" applyFill="1" applyBorder="1"/>
    <xf numFmtId="164" fontId="11" fillId="3" borderId="1" xfId="0" applyNumberFormat="1" applyFont="1" applyFill="1" applyBorder="1"/>
    <xf numFmtId="9" fontId="0" fillId="0" borderId="1" xfId="0" applyNumberFormat="1" applyBorder="1"/>
    <xf numFmtId="165" fontId="11" fillId="3" borderId="0" xfId="0" applyNumberFormat="1" applyFont="1" applyFill="1"/>
    <xf numFmtId="0" fontId="9" fillId="0" borderId="0" xfId="0" applyFont="1"/>
    <xf numFmtId="165" fontId="9" fillId="0" borderId="0" xfId="0" applyNumberFormat="1" applyFont="1"/>
    <xf numFmtId="0" fontId="11" fillId="3" borderId="0" xfId="0" applyFont="1" applyFill="1"/>
    <xf numFmtId="0" fontId="9" fillId="0" borderId="1" xfId="0" applyFont="1" applyBorder="1" applyAlignment="1">
      <alignment horizontal="center"/>
    </xf>
    <xf numFmtId="0" fontId="7" fillId="2" borderId="2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horizontal="center"/>
    </xf>
  </cellXfs>
  <cellStyles count="1">
    <cellStyle name="Normal" xfId="0" builtinId="0"/>
  </cellStyles>
  <dxfs count="39">
    <dxf>
      <fill>
        <patternFill>
          <bgColor rgb="FFDCE3F5"/>
        </patternFill>
      </fill>
    </dxf>
    <dxf>
      <fill>
        <patternFill>
          <bgColor rgb="FFF8ECD0"/>
        </patternFill>
      </fill>
    </dxf>
    <dxf>
      <fill>
        <patternFill>
          <bgColor rgb="FFD6ECE7"/>
        </patternFill>
      </fill>
    </dxf>
    <dxf>
      <fill>
        <patternFill>
          <bgColor rgb="FFE4E9E3"/>
        </patternFill>
      </fill>
    </dxf>
    <dxf>
      <fill>
        <patternFill>
          <bgColor rgb="FFDCE3F5"/>
        </patternFill>
      </fill>
    </dxf>
    <dxf>
      <fill>
        <patternFill>
          <bgColor rgb="FFF8ECD0"/>
        </patternFill>
      </fill>
    </dxf>
    <dxf>
      <fill>
        <patternFill>
          <bgColor rgb="FFD6ECE7"/>
        </patternFill>
      </fill>
    </dxf>
    <dxf>
      <fill>
        <patternFill>
          <bgColor rgb="FFE4E9E3"/>
        </patternFill>
      </fill>
    </dxf>
    <dxf>
      <fill>
        <patternFill>
          <bgColor rgb="FFDCE3F5"/>
        </patternFill>
      </fill>
    </dxf>
    <dxf>
      <fill>
        <patternFill>
          <bgColor rgb="FFF8ECD0"/>
        </patternFill>
      </fill>
    </dxf>
    <dxf>
      <fill>
        <patternFill>
          <bgColor rgb="FFD6ECE7"/>
        </patternFill>
      </fill>
    </dxf>
    <dxf>
      <fill>
        <patternFill>
          <bgColor rgb="FFE4E9E3"/>
        </patternFill>
      </fill>
    </dxf>
    <dxf>
      <fill>
        <patternFill>
          <bgColor rgb="FFDCE3F5"/>
        </patternFill>
      </fill>
    </dxf>
    <dxf>
      <fill>
        <patternFill>
          <bgColor rgb="FFF8ECD0"/>
        </patternFill>
      </fill>
    </dxf>
    <dxf>
      <fill>
        <patternFill>
          <bgColor rgb="FFD6ECE7"/>
        </patternFill>
      </fill>
    </dxf>
    <dxf>
      <fill>
        <patternFill>
          <bgColor rgb="FFE4E9E3"/>
        </patternFill>
      </fill>
    </dxf>
    <dxf>
      <fill>
        <patternFill>
          <bgColor rgb="FFDCE3F5"/>
        </patternFill>
      </fill>
    </dxf>
    <dxf>
      <fill>
        <patternFill>
          <bgColor rgb="FFF8ECD0"/>
        </patternFill>
      </fill>
    </dxf>
    <dxf>
      <fill>
        <patternFill>
          <bgColor rgb="FFD6ECE7"/>
        </patternFill>
      </fill>
    </dxf>
    <dxf>
      <fill>
        <patternFill>
          <bgColor rgb="FFE4E9E3"/>
        </patternFill>
      </fill>
    </dxf>
    <dxf>
      <fill>
        <patternFill>
          <bgColor rgb="FFDCE3F5"/>
        </patternFill>
      </fill>
    </dxf>
    <dxf>
      <fill>
        <patternFill>
          <bgColor rgb="FFF8ECD0"/>
        </patternFill>
      </fill>
    </dxf>
    <dxf>
      <fill>
        <patternFill>
          <bgColor rgb="FFD6ECE7"/>
        </patternFill>
      </fill>
    </dxf>
    <dxf>
      <fill>
        <patternFill>
          <bgColor rgb="FFE4E9E3"/>
        </patternFill>
      </fill>
    </dxf>
    <dxf>
      <fill>
        <patternFill>
          <bgColor rgb="FFEEEEEE"/>
        </patternFill>
      </fill>
    </dxf>
    <dxf>
      <fill>
        <patternFill>
          <bgColor rgb="FFF7DCD9"/>
        </patternFill>
      </fill>
    </dxf>
    <dxf>
      <fill>
        <patternFill>
          <bgColor rgb="FFF8ECD0"/>
        </patternFill>
      </fill>
    </dxf>
    <dxf>
      <fill>
        <patternFill>
          <bgColor rgb="FFDCF1E3"/>
        </patternFill>
      </fill>
    </dxf>
    <dxf>
      <fill>
        <patternFill>
          <bgColor rgb="FFEEEEEE"/>
        </patternFill>
      </fill>
    </dxf>
    <dxf>
      <fill>
        <patternFill>
          <bgColor rgb="FFF7DCD9"/>
        </patternFill>
      </fill>
    </dxf>
    <dxf>
      <fill>
        <patternFill>
          <bgColor rgb="FFF8ECD0"/>
        </patternFill>
      </fill>
    </dxf>
    <dxf>
      <fill>
        <patternFill>
          <bgColor rgb="FFDCF1E3"/>
        </patternFill>
      </fill>
    </dxf>
    <dxf>
      <font>
        <b/>
        <color rgb="FFC23B32"/>
        <name val="Arial"/>
      </font>
    </dxf>
    <dxf>
      <font>
        <b/>
        <name val="Arial"/>
      </font>
      <fill>
        <patternFill>
          <bgColor rgb="FFEEEEEE"/>
        </patternFill>
      </fill>
    </dxf>
    <dxf>
      <font>
        <b/>
        <name val="Arial"/>
      </font>
      <fill>
        <patternFill>
          <bgColor rgb="FFF7DCD9"/>
        </patternFill>
      </fill>
    </dxf>
    <dxf>
      <font>
        <b/>
        <name val="Arial"/>
      </font>
      <fill>
        <patternFill>
          <bgColor rgb="FFF8ECD0"/>
        </patternFill>
      </fill>
    </dxf>
    <dxf>
      <font>
        <b/>
        <name val="Arial"/>
      </font>
      <fill>
        <patternFill>
          <bgColor rgb="FFDCF1E3"/>
        </patternFill>
      </fill>
    </dxf>
    <dxf>
      <font>
        <b/>
        <color rgb="FFC23B32"/>
        <name val="Arial"/>
      </font>
    </dxf>
    <dxf>
      <font>
        <b/>
        <color rgb="FFC23B32"/>
        <name val="Arial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B5C"/>
      <rgbColor rgb="FFB9C2BE"/>
      <rgbColor rgb="FF878787"/>
      <rgbColor rgb="FF9999FF"/>
      <rgbColor rgb="FF993366"/>
      <rgbColor rgb="FFFFF7D6"/>
      <rgbColor rgb="FFD6ECE7"/>
      <rgbColor rgb="FF660066"/>
      <rgbColor rgb="FFFF8080"/>
      <rgbColor rgb="FF0066CC"/>
      <rgbColor rgb="FFCBD3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9E3"/>
      <rgbColor rgb="FFDCF1E3"/>
      <rgbColor rgb="FFF8ECD0"/>
      <rgbColor rgb="FFD9D9D9"/>
      <rgbColor rgb="FFEEEEEE"/>
      <rgbColor rgb="FFDCE3F5"/>
      <rgbColor rgb="FFF7DCD9"/>
      <rgbColor rgb="FF3366FF"/>
      <rgbColor rgb="FF33CCCC"/>
      <rgbColor rgb="FF99CC00"/>
      <rgbColor rgb="FFFFCC00"/>
      <rgbColor rgb="FFC98A12"/>
      <rgbColor rgb="FFFF6600"/>
      <rgbColor rgb="FF5B6862"/>
      <rgbColor rgb="FF969696"/>
      <rgbColor rgb="FF003366"/>
      <rgbColor rgb="FF1F8A4C"/>
      <rgbColor rgb="FF11201D"/>
      <rgbColor rgb="FF333300"/>
      <rgbColor rgb="FFC23B32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Status by phase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bar"/>
        <c:grouping val="stacked"/>
        <c:ser>
          <c:idx val="0"/>
          <c:order val="0"/>
          <c:tx>
            <c:strRef>
              <c:f>Dashboard!$D$9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rgbClr val="1F8A4C"/>
            </a:solidFill>
            <a:ln w="0">
              <a:solidFill>
                <a:srgbClr val="1F8A4C"/>
              </a:solidFill>
            </a:ln>
          </c:spPr>
          <c:cat>
            <c:strRef>
              <c:f>Dashboard!$A$10:$A$13</c:f>
              <c:strCache>
                <c:ptCount val="4"/>
                <c:pt idx="0">
                  <c:v>Initial</c:v>
                </c:pt>
                <c:pt idx="1">
                  <c:v>30 Day</c:v>
                </c:pt>
                <c:pt idx="2">
                  <c:v>60 Day</c:v>
                </c:pt>
                <c:pt idx="3">
                  <c:v>90 Day</c:v>
                </c:pt>
              </c:strCache>
            </c:strRef>
          </c:cat>
          <c:val>
            <c:numRef>
              <c:f>Dashboard!$D$10:$D$13</c:f>
              <c:numCache>
                <c:formatCode>General</c:formatCode>
                <c:ptCount val="4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Dashboard!$E$9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rgbClr val="C98A12"/>
            </a:solidFill>
            <a:ln w="0">
              <a:solidFill>
                <a:srgbClr val="C98A12"/>
              </a:solidFill>
            </a:ln>
          </c:spPr>
          <c:cat>
            <c:strRef>
              <c:f>Dashboard!$A$10:$A$13</c:f>
              <c:strCache>
                <c:ptCount val="4"/>
                <c:pt idx="0">
                  <c:v>Initial</c:v>
                </c:pt>
                <c:pt idx="1">
                  <c:v>30 Day</c:v>
                </c:pt>
                <c:pt idx="2">
                  <c:v>60 Day</c:v>
                </c:pt>
                <c:pt idx="3">
                  <c:v>90 Day</c:v>
                </c:pt>
              </c:strCache>
            </c:strRef>
          </c:cat>
          <c:val>
            <c:numRef>
              <c:f>Dashboard!$E$10:$E$13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Dashboard!$F$9</c:f>
              <c:strCache>
                <c:ptCount val="1"/>
                <c:pt idx="0">
                  <c:v>Blocked</c:v>
                </c:pt>
              </c:strCache>
            </c:strRef>
          </c:tx>
          <c:spPr>
            <a:solidFill>
              <a:srgbClr val="C23B32"/>
            </a:solidFill>
            <a:ln w="0">
              <a:solidFill>
                <a:srgbClr val="C23B32"/>
              </a:solidFill>
            </a:ln>
          </c:spPr>
          <c:cat>
            <c:strRef>
              <c:f>Dashboard!$A$10:$A$13</c:f>
              <c:strCache>
                <c:ptCount val="4"/>
                <c:pt idx="0">
                  <c:v>Initial</c:v>
                </c:pt>
                <c:pt idx="1">
                  <c:v>30 Day</c:v>
                </c:pt>
                <c:pt idx="2">
                  <c:v>60 Day</c:v>
                </c:pt>
                <c:pt idx="3">
                  <c:v>90 Day</c:v>
                </c:pt>
              </c:strCache>
            </c:strRef>
          </c:cat>
          <c:val>
            <c:numRef>
              <c:f>Dashboard!$F$10:$F$13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3"/>
          <c:order val="3"/>
          <c:tx>
            <c:strRef>
              <c:f>Dashboard!$G$9</c:f>
              <c:strCache>
                <c:ptCount val="1"/>
                <c:pt idx="0">
                  <c:v>Not started</c:v>
                </c:pt>
              </c:strCache>
            </c:strRef>
          </c:tx>
          <c:spPr>
            <a:solidFill>
              <a:srgbClr val="B9C2BE"/>
            </a:solidFill>
            <a:ln w="0">
              <a:solidFill>
                <a:srgbClr val="B9C2BE"/>
              </a:solidFill>
            </a:ln>
          </c:spPr>
          <c:cat>
            <c:strRef>
              <c:f>Dashboard!$A$10:$A$13</c:f>
              <c:strCache>
                <c:ptCount val="4"/>
                <c:pt idx="0">
                  <c:v>Initial</c:v>
                </c:pt>
                <c:pt idx="1">
                  <c:v>30 Day</c:v>
                </c:pt>
                <c:pt idx="2">
                  <c:v>60 Day</c:v>
                </c:pt>
                <c:pt idx="3">
                  <c:v>90 Day</c:v>
                </c:pt>
              </c:strCache>
            </c:strRef>
          </c:cat>
          <c:val>
            <c:numRef>
              <c:f>Dashboard!$G$10:$G$13</c:f>
              <c:numCache>
                <c:formatCode>General</c:formatCode>
                <c:ptCount val="4"/>
                <c:pt idx="0">
                  <c:v>0</c:v>
                </c:pt>
                <c:pt idx="1">
                  <c:v>43</c:v>
                </c:pt>
                <c:pt idx="2">
                  <c:v>30</c:v>
                </c:pt>
                <c:pt idx="3">
                  <c:v>7</c:v>
                </c:pt>
              </c:numCache>
            </c:numRef>
          </c:val>
        </c:ser>
        <c:overlap val="100"/>
        <c:axId val="108045440"/>
        <c:axId val="108046976"/>
      </c:barChart>
      <c:catAx>
        <c:axId val="108045440"/>
        <c:scaling>
          <c:orientation val="maxMin"/>
        </c:scaling>
        <c:axPos val="l"/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8046976"/>
        <c:crosses val="autoZero"/>
        <c:auto val="1"/>
        <c:lblAlgn val="ctr"/>
        <c:lblOffset val="100"/>
      </c:catAx>
      <c:valAx>
        <c:axId val="108046976"/>
        <c:scaling>
          <c:orientation val="minMax"/>
        </c:scaling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Items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80454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Status by role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bar"/>
        <c:grouping val="stacked"/>
        <c:ser>
          <c:idx val="0"/>
          <c:order val="0"/>
          <c:tx>
            <c:strRef>
              <c:f>Dashboard!$D$18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rgbClr val="1F8A4C"/>
            </a:solidFill>
            <a:ln w="0">
              <a:solidFill>
                <a:srgbClr val="1F8A4C"/>
              </a:solidFill>
            </a:ln>
          </c:spPr>
          <c:cat>
            <c:strRef>
              <c:f>Dashboard!$A$19:$A$24</c:f>
              <c:strCache>
                <c:ptCount val="6"/>
                <c:pt idx="0">
                  <c:v>Informatica Dev</c:v>
                </c:pt>
                <c:pt idx="1">
                  <c:v>Databricks Dev</c:v>
                </c:pt>
                <c:pt idx="2">
                  <c:v>QE / Testers</c:v>
                </c:pt>
                <c:pt idx="3">
                  <c:v>Data / Requirements Analyst</c:v>
                </c:pt>
                <c:pt idx="4">
                  <c:v>Java Dev</c:v>
                </c:pt>
                <c:pt idx="5">
                  <c:v>Orchestration</c:v>
                </c:pt>
              </c:strCache>
            </c:strRef>
          </c:cat>
          <c:val>
            <c:numRef>
              <c:f>Dashboard!$D$19:$D$24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Dashboard!$E$18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rgbClr val="C98A12"/>
            </a:solidFill>
            <a:ln w="0">
              <a:solidFill>
                <a:srgbClr val="C98A12"/>
              </a:solidFill>
            </a:ln>
          </c:spPr>
          <c:cat>
            <c:strRef>
              <c:f>Dashboard!$A$19:$A$24</c:f>
              <c:strCache>
                <c:ptCount val="6"/>
                <c:pt idx="0">
                  <c:v>Informatica Dev</c:v>
                </c:pt>
                <c:pt idx="1">
                  <c:v>Databricks Dev</c:v>
                </c:pt>
                <c:pt idx="2">
                  <c:v>QE / Testers</c:v>
                </c:pt>
                <c:pt idx="3">
                  <c:v>Data / Requirements Analyst</c:v>
                </c:pt>
                <c:pt idx="4">
                  <c:v>Java Dev</c:v>
                </c:pt>
                <c:pt idx="5">
                  <c:v>Orchestration</c:v>
                </c:pt>
              </c:strCache>
            </c:strRef>
          </c:cat>
          <c:val>
            <c:numRef>
              <c:f>Dashboard!$E$19:$E$24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Dashboard!$F$18</c:f>
              <c:strCache>
                <c:ptCount val="1"/>
                <c:pt idx="0">
                  <c:v>Blocked</c:v>
                </c:pt>
              </c:strCache>
            </c:strRef>
          </c:tx>
          <c:spPr>
            <a:solidFill>
              <a:srgbClr val="C23B32"/>
            </a:solidFill>
            <a:ln w="0">
              <a:solidFill>
                <a:srgbClr val="C23B32"/>
              </a:solidFill>
            </a:ln>
          </c:spPr>
          <c:cat>
            <c:strRef>
              <c:f>Dashboard!$A$19:$A$24</c:f>
              <c:strCache>
                <c:ptCount val="6"/>
                <c:pt idx="0">
                  <c:v>Informatica Dev</c:v>
                </c:pt>
                <c:pt idx="1">
                  <c:v>Databricks Dev</c:v>
                </c:pt>
                <c:pt idx="2">
                  <c:v>QE / Testers</c:v>
                </c:pt>
                <c:pt idx="3">
                  <c:v>Data / Requirements Analyst</c:v>
                </c:pt>
                <c:pt idx="4">
                  <c:v>Java Dev</c:v>
                </c:pt>
                <c:pt idx="5">
                  <c:v>Orchestration</c:v>
                </c:pt>
              </c:strCache>
            </c:strRef>
          </c:cat>
          <c:val>
            <c:numRef>
              <c:f>Dashboard!$F$19:$F$24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Dashboard!$G$18</c:f>
              <c:strCache>
                <c:ptCount val="1"/>
                <c:pt idx="0">
                  <c:v>Not started</c:v>
                </c:pt>
              </c:strCache>
            </c:strRef>
          </c:tx>
          <c:spPr>
            <a:solidFill>
              <a:srgbClr val="B9C2BE"/>
            </a:solidFill>
            <a:ln w="0">
              <a:solidFill>
                <a:srgbClr val="B9C2BE"/>
              </a:solidFill>
            </a:ln>
          </c:spPr>
          <c:cat>
            <c:strRef>
              <c:f>Dashboard!$A$19:$A$24</c:f>
              <c:strCache>
                <c:ptCount val="6"/>
                <c:pt idx="0">
                  <c:v>Informatica Dev</c:v>
                </c:pt>
                <c:pt idx="1">
                  <c:v>Databricks Dev</c:v>
                </c:pt>
                <c:pt idx="2">
                  <c:v>QE / Testers</c:v>
                </c:pt>
                <c:pt idx="3">
                  <c:v>Data / Requirements Analyst</c:v>
                </c:pt>
                <c:pt idx="4">
                  <c:v>Java Dev</c:v>
                </c:pt>
                <c:pt idx="5">
                  <c:v>Orchestration</c:v>
                </c:pt>
              </c:strCache>
            </c:strRef>
          </c:cat>
          <c:val>
            <c:numRef>
              <c:f>Dashboard!$G$19:$G$24</c:f>
              <c:numCache>
                <c:formatCode>General</c:formatCode>
                <c:ptCount val="6"/>
                <c:pt idx="0">
                  <c:v>24</c:v>
                </c:pt>
                <c:pt idx="1">
                  <c:v>16</c:v>
                </c:pt>
                <c:pt idx="2">
                  <c:v>12</c:v>
                </c:pt>
                <c:pt idx="3">
                  <c:v>7</c:v>
                </c:pt>
                <c:pt idx="4">
                  <c:v>16</c:v>
                </c:pt>
                <c:pt idx="5">
                  <c:v>0</c:v>
                </c:pt>
              </c:numCache>
            </c:numRef>
          </c:val>
        </c:ser>
        <c:overlap val="100"/>
        <c:axId val="109816832"/>
        <c:axId val="109826816"/>
      </c:barChart>
      <c:catAx>
        <c:axId val="109816832"/>
        <c:scaling>
          <c:orientation val="maxMin"/>
        </c:scaling>
        <c:axPos val="l"/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9826816"/>
        <c:crosses val="autoZero"/>
        <c:auto val="1"/>
        <c:lblAlgn val="ctr"/>
        <c:lblOffset val="100"/>
      </c:catAx>
      <c:valAx>
        <c:axId val="109826816"/>
        <c:scaling>
          <c:orientation val="minMax"/>
        </c:scaling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Items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98168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130680</xdr:rowOff>
    </xdr:from>
    <xdr:to>
      <xdr:col>20</xdr:col>
      <xdr:colOff>256320</xdr:colOff>
      <xdr:row>14</xdr:row>
      <xdr:rowOff>1440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18</xdr:row>
      <xdr:rowOff>130680</xdr:rowOff>
    </xdr:from>
    <xdr:to>
      <xdr:col>20</xdr:col>
      <xdr:colOff>256320</xdr:colOff>
      <xdr:row>32</xdr:row>
      <xdr:rowOff>163440</xdr:rowOff>
    </xdr:to>
    <xdr:graphicFrame macro="">
      <xdr:nvGraphicFramePr>
        <xdr:cNvPr id="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H33" sqref="H33:H36"/>
    </sheetView>
  </sheetViews>
  <sheetFormatPr defaultColWidth="8.7109375" defaultRowHeight="15"/>
  <cols>
    <col min="1" max="1" width="5" customWidth="1"/>
    <col min="2" max="2" width="34" customWidth="1"/>
    <col min="3" max="3" width="20" customWidth="1"/>
    <col min="4" max="4" width="46" customWidth="1"/>
    <col min="5" max="10" width="14" customWidth="1"/>
  </cols>
  <sheetData>
    <row r="1" spans="1:11" ht="20.25">
      <c r="A1" s="1" t="s">
        <v>235</v>
      </c>
    </row>
    <row r="2" spans="1:11" ht="20.25">
      <c r="A2" s="1" t="s">
        <v>236</v>
      </c>
    </row>
    <row r="3" spans="1:11" ht="20.25">
      <c r="E3" s="34" t="s">
        <v>237</v>
      </c>
      <c r="F3" s="34"/>
      <c r="G3" s="34"/>
      <c r="H3" s="34"/>
      <c r="I3" s="34"/>
      <c r="J3" s="34"/>
      <c r="K3" s="34"/>
    </row>
    <row r="4" spans="1:11" ht="38.25">
      <c r="A4" s="8" t="s">
        <v>36</v>
      </c>
      <c r="B4" s="8" t="s">
        <v>37</v>
      </c>
      <c r="C4" s="8" t="s">
        <v>38</v>
      </c>
      <c r="D4" s="8" t="s">
        <v>39</v>
      </c>
      <c r="E4" s="33" t="s">
        <v>26</v>
      </c>
      <c r="F4" s="33" t="s">
        <v>28</v>
      </c>
      <c r="G4" s="33" t="s">
        <v>29</v>
      </c>
      <c r="H4" s="33" t="s">
        <v>30</v>
      </c>
      <c r="I4" s="33" t="s">
        <v>31</v>
      </c>
      <c r="J4" s="33" t="s">
        <v>32</v>
      </c>
      <c r="K4" s="32" t="s">
        <v>233</v>
      </c>
    </row>
    <row r="5" spans="1:11">
      <c r="A5" s="23">
        <v>1</v>
      </c>
      <c r="B5" s="23" t="s">
        <v>49</v>
      </c>
      <c r="C5" s="23" t="s">
        <v>50</v>
      </c>
      <c r="D5" s="23" t="s">
        <v>51</v>
      </c>
      <c r="E5" s="31" t="s">
        <v>19</v>
      </c>
      <c r="F5" s="31" t="s">
        <v>19</v>
      </c>
      <c r="G5" s="31" t="s">
        <v>19</v>
      </c>
      <c r="H5" s="31" t="s">
        <v>19</v>
      </c>
      <c r="I5" s="31" t="s">
        <v>19</v>
      </c>
      <c r="J5" s="31" t="s">
        <v>19</v>
      </c>
      <c r="K5" s="31" t="s">
        <v>19</v>
      </c>
    </row>
    <row r="6" spans="1:11">
      <c r="A6" s="23">
        <v>2</v>
      </c>
      <c r="B6" s="23" t="s">
        <v>49</v>
      </c>
      <c r="C6" s="23" t="s">
        <v>58</v>
      </c>
      <c r="D6" s="23" t="s">
        <v>59</v>
      </c>
      <c r="E6" s="31" t="s">
        <v>19</v>
      </c>
      <c r="F6" s="31" t="s">
        <v>19</v>
      </c>
      <c r="G6" s="31" t="s">
        <v>19</v>
      </c>
      <c r="H6" s="31" t="s">
        <v>19</v>
      </c>
      <c r="I6" s="31" t="s">
        <v>19</v>
      </c>
      <c r="J6" s="31" t="s">
        <v>19</v>
      </c>
      <c r="K6" s="31" t="s">
        <v>19</v>
      </c>
    </row>
    <row r="7" spans="1:11">
      <c r="A7" s="23">
        <v>3</v>
      </c>
      <c r="B7" s="23" t="s">
        <v>66</v>
      </c>
      <c r="C7" s="23" t="s">
        <v>67</v>
      </c>
      <c r="D7" s="23" t="s">
        <v>68</v>
      </c>
      <c r="E7" s="31" t="s">
        <v>20</v>
      </c>
      <c r="F7" s="31" t="s">
        <v>20</v>
      </c>
      <c r="G7" s="31" t="s">
        <v>20</v>
      </c>
      <c r="H7" s="31" t="s">
        <v>20</v>
      </c>
      <c r="I7" s="31" t="s">
        <v>20</v>
      </c>
      <c r="J7" s="31" t="s">
        <v>20</v>
      </c>
      <c r="K7" s="31" t="s">
        <v>20</v>
      </c>
    </row>
    <row r="8" spans="1:11">
      <c r="A8" s="23">
        <v>4</v>
      </c>
      <c r="B8" s="23" t="s">
        <v>66</v>
      </c>
      <c r="C8" s="23" t="s">
        <v>67</v>
      </c>
      <c r="D8" s="23" t="s">
        <v>75</v>
      </c>
      <c r="E8" s="31" t="s">
        <v>20</v>
      </c>
      <c r="F8" s="31" t="s">
        <v>20</v>
      </c>
      <c r="G8" s="31" t="s">
        <v>20</v>
      </c>
      <c r="H8" s="31"/>
      <c r="I8" s="31" t="s">
        <v>20</v>
      </c>
      <c r="J8" s="31"/>
    </row>
    <row r="9" spans="1:11">
      <c r="A9" s="23">
        <v>5</v>
      </c>
      <c r="B9" s="23" t="s">
        <v>66</v>
      </c>
      <c r="C9" s="23" t="s">
        <v>67</v>
      </c>
      <c r="D9" s="23" t="s">
        <v>80</v>
      </c>
      <c r="E9" s="31" t="s">
        <v>20</v>
      </c>
      <c r="F9" s="31" t="s">
        <v>20</v>
      </c>
      <c r="G9" s="31" t="s">
        <v>20</v>
      </c>
      <c r="H9" s="31"/>
      <c r="I9" s="31" t="s">
        <v>20</v>
      </c>
      <c r="J9" s="31"/>
    </row>
    <row r="10" spans="1:11">
      <c r="A10" s="23">
        <v>6</v>
      </c>
      <c r="B10" s="23" t="s">
        <v>66</v>
      </c>
      <c r="C10" s="23" t="s">
        <v>67</v>
      </c>
      <c r="D10" s="23" t="s">
        <v>85</v>
      </c>
      <c r="E10" s="31" t="s">
        <v>20</v>
      </c>
      <c r="F10" s="31" t="s">
        <v>20</v>
      </c>
      <c r="G10" s="31" t="s">
        <v>20</v>
      </c>
      <c r="H10" s="31"/>
      <c r="I10" s="31" t="s">
        <v>20</v>
      </c>
      <c r="J10" s="31"/>
    </row>
    <row r="11" spans="1:11">
      <c r="A11" s="23">
        <v>7</v>
      </c>
      <c r="B11" s="23" t="s">
        <v>66</v>
      </c>
      <c r="C11" s="23" t="s">
        <v>67</v>
      </c>
      <c r="D11" s="23" t="s">
        <v>90</v>
      </c>
      <c r="E11" s="31" t="s">
        <v>20</v>
      </c>
      <c r="F11" s="31" t="s">
        <v>20</v>
      </c>
      <c r="G11" s="31"/>
      <c r="H11" s="31"/>
      <c r="I11" s="31" t="s">
        <v>20</v>
      </c>
      <c r="J11" s="31"/>
    </row>
    <row r="12" spans="1:11">
      <c r="A12" s="23">
        <v>8</v>
      </c>
      <c r="B12" s="23" t="s">
        <v>66</v>
      </c>
      <c r="C12" s="23" t="s">
        <v>67</v>
      </c>
      <c r="D12" s="23" t="s">
        <v>94</v>
      </c>
      <c r="E12" s="31" t="s">
        <v>20</v>
      </c>
      <c r="F12" s="31" t="s">
        <v>20</v>
      </c>
      <c r="G12" s="31" t="s">
        <v>20</v>
      </c>
      <c r="H12" s="31"/>
      <c r="I12" s="31" t="s">
        <v>20</v>
      </c>
      <c r="J12" s="31"/>
    </row>
    <row r="13" spans="1:11">
      <c r="A13" s="23">
        <v>9</v>
      </c>
      <c r="B13" s="23" t="s">
        <v>66</v>
      </c>
      <c r="C13" s="23" t="s">
        <v>67</v>
      </c>
      <c r="D13" s="23" t="s">
        <v>99</v>
      </c>
      <c r="E13" s="31" t="s">
        <v>20</v>
      </c>
      <c r="F13" s="31" t="s">
        <v>20</v>
      </c>
      <c r="G13" s="31" t="s">
        <v>20</v>
      </c>
      <c r="H13" s="31"/>
      <c r="I13" s="31" t="s">
        <v>20</v>
      </c>
      <c r="J13" s="31" t="s">
        <v>20</v>
      </c>
    </row>
    <row r="14" spans="1:11">
      <c r="A14" s="23">
        <v>10</v>
      </c>
      <c r="B14" s="23" t="s">
        <v>66</v>
      </c>
      <c r="C14" s="23" t="s">
        <v>67</v>
      </c>
      <c r="D14" s="23" t="s">
        <v>105</v>
      </c>
      <c r="E14" s="31" t="s">
        <v>20</v>
      </c>
      <c r="F14" s="31" t="s">
        <v>20</v>
      </c>
      <c r="G14" s="31"/>
      <c r="H14" s="31"/>
      <c r="I14" s="31" t="s">
        <v>20</v>
      </c>
      <c r="J14" s="31"/>
    </row>
    <row r="15" spans="1:11">
      <c r="A15" s="23">
        <v>11</v>
      </c>
      <c r="B15" s="23" t="s">
        <v>66</v>
      </c>
      <c r="C15" s="23" t="s">
        <v>67</v>
      </c>
      <c r="D15" s="23" t="s">
        <v>109</v>
      </c>
      <c r="E15" s="31" t="s">
        <v>20</v>
      </c>
      <c r="F15" s="31" t="s">
        <v>20</v>
      </c>
      <c r="G15" s="31"/>
      <c r="H15" s="31"/>
      <c r="I15" s="31" t="s">
        <v>20</v>
      </c>
      <c r="J15" s="31"/>
    </row>
    <row r="16" spans="1:11">
      <c r="A16" s="23">
        <v>12</v>
      </c>
      <c r="B16" s="23" t="s">
        <v>66</v>
      </c>
      <c r="C16" s="23" t="s">
        <v>67</v>
      </c>
      <c r="D16" s="23" t="s">
        <v>113</v>
      </c>
      <c r="E16" s="31"/>
      <c r="F16" s="31"/>
      <c r="G16" s="31"/>
      <c r="H16" s="31"/>
      <c r="I16" s="31"/>
      <c r="J16" s="31" t="s">
        <v>20</v>
      </c>
      <c r="K16" s="31" t="s">
        <v>20</v>
      </c>
    </row>
    <row r="17" spans="1:11">
      <c r="A17" s="23">
        <v>13</v>
      </c>
      <c r="B17" s="23" t="s">
        <v>115</v>
      </c>
      <c r="C17" s="23" t="s">
        <v>116</v>
      </c>
      <c r="D17" s="23" t="s">
        <v>75</v>
      </c>
      <c r="E17" s="31" t="s">
        <v>21</v>
      </c>
      <c r="F17" s="31" t="s">
        <v>21</v>
      </c>
      <c r="G17" s="31"/>
      <c r="H17" s="31"/>
      <c r="I17" s="31"/>
      <c r="J17" s="31"/>
    </row>
    <row r="18" spans="1:11">
      <c r="A18" s="23">
        <v>14</v>
      </c>
      <c r="B18" s="23" t="s">
        <v>115</v>
      </c>
      <c r="C18" s="23" t="s">
        <v>116</v>
      </c>
      <c r="D18" s="23" t="s">
        <v>80</v>
      </c>
      <c r="E18" s="31" t="s">
        <v>21</v>
      </c>
      <c r="F18" s="31" t="s">
        <v>21</v>
      </c>
      <c r="G18" s="31"/>
      <c r="H18" s="31"/>
      <c r="I18" s="31"/>
      <c r="J18" s="31"/>
    </row>
    <row r="19" spans="1:11">
      <c r="A19" s="23">
        <v>15</v>
      </c>
      <c r="B19" s="23" t="s">
        <v>115</v>
      </c>
      <c r="C19" s="23" t="s">
        <v>116</v>
      </c>
      <c r="D19" s="23" t="s">
        <v>85</v>
      </c>
      <c r="E19" s="31" t="s">
        <v>21</v>
      </c>
      <c r="F19" s="31" t="s">
        <v>21</v>
      </c>
      <c r="G19" s="31"/>
      <c r="H19" s="31"/>
      <c r="I19" s="31"/>
      <c r="J19" s="31"/>
    </row>
    <row r="20" spans="1:11">
      <c r="A20" s="23">
        <v>16</v>
      </c>
      <c r="B20" s="23" t="s">
        <v>115</v>
      </c>
      <c r="C20" s="23" t="s">
        <v>116</v>
      </c>
      <c r="D20" s="23" t="s">
        <v>90</v>
      </c>
      <c r="E20" s="31" t="s">
        <v>21</v>
      </c>
      <c r="F20" s="31" t="s">
        <v>21</v>
      </c>
      <c r="G20" s="31"/>
      <c r="H20" s="31"/>
      <c r="I20" s="31"/>
      <c r="J20" s="31"/>
    </row>
    <row r="21" spans="1:11">
      <c r="A21" s="23">
        <v>17</v>
      </c>
      <c r="B21" s="23" t="s">
        <v>115</v>
      </c>
      <c r="C21" s="23" t="s">
        <v>116</v>
      </c>
      <c r="D21" s="23" t="s">
        <v>94</v>
      </c>
      <c r="E21" s="31" t="s">
        <v>21</v>
      </c>
      <c r="F21" s="31" t="s">
        <v>21</v>
      </c>
      <c r="G21" s="31"/>
      <c r="H21" s="31"/>
      <c r="I21" s="31"/>
      <c r="J21" s="31"/>
    </row>
    <row r="22" spans="1:11">
      <c r="A22" s="23">
        <v>18</v>
      </c>
      <c r="B22" s="23" t="s">
        <v>115</v>
      </c>
      <c r="C22" s="23" t="s">
        <v>116</v>
      </c>
      <c r="D22" s="23" t="s">
        <v>99</v>
      </c>
      <c r="E22" s="31" t="s">
        <v>21</v>
      </c>
      <c r="F22" s="31" t="s">
        <v>21</v>
      </c>
      <c r="G22" s="31"/>
      <c r="H22" s="31"/>
      <c r="I22" s="31"/>
      <c r="J22" s="31"/>
    </row>
    <row r="23" spans="1:11">
      <c r="A23" s="23">
        <v>19</v>
      </c>
      <c r="B23" s="23" t="s">
        <v>115</v>
      </c>
      <c r="C23" s="23" t="s">
        <v>116</v>
      </c>
      <c r="D23" s="23" t="s">
        <v>105</v>
      </c>
      <c r="E23" s="31" t="s">
        <v>21</v>
      </c>
      <c r="F23" s="31" t="s">
        <v>21</v>
      </c>
      <c r="G23" s="31"/>
      <c r="H23" s="31"/>
      <c r="I23" s="31"/>
      <c r="J23" s="31"/>
    </row>
    <row r="24" spans="1:11">
      <c r="A24" s="23">
        <v>20</v>
      </c>
      <c r="B24" s="23" t="s">
        <v>115</v>
      </c>
      <c r="C24" s="23" t="s">
        <v>116</v>
      </c>
      <c r="D24" s="23" t="s">
        <v>109</v>
      </c>
      <c r="E24" s="31" t="s">
        <v>21</v>
      </c>
      <c r="F24" s="31" t="s">
        <v>21</v>
      </c>
      <c r="G24" s="31"/>
      <c r="H24" s="31"/>
      <c r="I24" s="31"/>
      <c r="J24" s="31"/>
    </row>
    <row r="25" spans="1:11">
      <c r="A25" s="23">
        <v>21</v>
      </c>
      <c r="B25" s="23" t="s">
        <v>125</v>
      </c>
      <c r="C25" s="23" t="s">
        <v>67</v>
      </c>
      <c r="D25" s="23" t="s">
        <v>126</v>
      </c>
      <c r="E25" s="31" t="s">
        <v>22</v>
      </c>
      <c r="F25" s="31" t="s">
        <v>22</v>
      </c>
      <c r="G25" s="31"/>
      <c r="H25" s="31" t="s">
        <v>21</v>
      </c>
      <c r="I25" s="31" t="s">
        <v>21</v>
      </c>
      <c r="J25" s="31"/>
    </row>
    <row r="26" spans="1:11">
      <c r="A26" s="23">
        <v>22</v>
      </c>
      <c r="B26" s="23" t="s">
        <v>125</v>
      </c>
      <c r="C26" s="23" t="s">
        <v>67</v>
      </c>
      <c r="D26" s="23" t="s">
        <v>131</v>
      </c>
      <c r="E26" s="31" t="s">
        <v>22</v>
      </c>
      <c r="F26" s="31" t="s">
        <v>22</v>
      </c>
      <c r="G26" s="31" t="s">
        <v>21</v>
      </c>
      <c r="H26" s="31"/>
      <c r="I26" s="31" t="s">
        <v>21</v>
      </c>
      <c r="J26" s="31"/>
    </row>
    <row r="27" spans="1:11">
      <c r="A27" s="23">
        <v>23</v>
      </c>
      <c r="B27" s="23" t="s">
        <v>125</v>
      </c>
      <c r="C27" s="23" t="s">
        <v>67</v>
      </c>
      <c r="D27" s="23" t="s">
        <v>136</v>
      </c>
      <c r="E27" s="31" t="s">
        <v>22</v>
      </c>
      <c r="F27" s="31" t="s">
        <v>22</v>
      </c>
      <c r="G27" s="31"/>
      <c r="H27" s="31" t="s">
        <v>21</v>
      </c>
      <c r="I27" s="31" t="s">
        <v>21</v>
      </c>
      <c r="J27" s="31"/>
    </row>
    <row r="28" spans="1:11">
      <c r="A28" s="23">
        <v>24</v>
      </c>
      <c r="B28" s="23" t="s">
        <v>125</v>
      </c>
      <c r="C28" s="23" t="s">
        <v>67</v>
      </c>
      <c r="D28" s="23" t="s">
        <v>141</v>
      </c>
      <c r="E28" s="31" t="s">
        <v>22</v>
      </c>
      <c r="F28" s="31" t="s">
        <v>22</v>
      </c>
      <c r="G28" s="31" t="s">
        <v>21</v>
      </c>
      <c r="H28" s="31"/>
      <c r="I28" s="31" t="s">
        <v>21</v>
      </c>
      <c r="J28" s="31"/>
    </row>
    <row r="29" spans="1:11">
      <c r="A29" s="23">
        <v>25</v>
      </c>
      <c r="B29" s="23" t="s">
        <v>125</v>
      </c>
      <c r="C29" s="23" t="s">
        <v>67</v>
      </c>
      <c r="D29" s="23" t="s">
        <v>146</v>
      </c>
      <c r="E29" s="31" t="s">
        <v>22</v>
      </c>
      <c r="F29" s="31" t="s">
        <v>22</v>
      </c>
      <c r="G29" s="31"/>
      <c r="H29" s="31"/>
      <c r="I29" s="31" t="s">
        <v>21</v>
      </c>
      <c r="J29" s="31" t="s">
        <v>21</v>
      </c>
      <c r="K29" s="31" t="s">
        <v>21</v>
      </c>
    </row>
    <row r="30" spans="1:11">
      <c r="A30" s="23">
        <v>26</v>
      </c>
      <c r="B30" s="23" t="s">
        <v>125</v>
      </c>
      <c r="C30" s="23" t="s">
        <v>67</v>
      </c>
      <c r="D30" s="23" t="s">
        <v>151</v>
      </c>
      <c r="E30" s="31" t="s">
        <v>22</v>
      </c>
      <c r="F30" s="31" t="s">
        <v>22</v>
      </c>
      <c r="G30" s="31"/>
      <c r="H30" s="31"/>
      <c r="I30" s="31" t="s">
        <v>21</v>
      </c>
      <c r="J30" s="31"/>
    </row>
    <row r="31" spans="1:11">
      <c r="A31" s="23">
        <v>27</v>
      </c>
      <c r="B31" s="23" t="s">
        <v>125</v>
      </c>
      <c r="C31" s="23" t="s">
        <v>67</v>
      </c>
      <c r="D31" s="23" t="s">
        <v>155</v>
      </c>
      <c r="E31" s="31" t="s">
        <v>22</v>
      </c>
      <c r="F31" s="31" t="s">
        <v>22</v>
      </c>
      <c r="G31" s="31" t="s">
        <v>21</v>
      </c>
      <c r="H31" s="31"/>
      <c r="I31" s="31" t="s">
        <v>21</v>
      </c>
      <c r="J31" s="31" t="s">
        <v>21</v>
      </c>
      <c r="K31" s="31" t="s">
        <v>21</v>
      </c>
    </row>
    <row r="32" spans="1:11">
      <c r="A32" s="23">
        <v>28</v>
      </c>
      <c r="B32" s="23" t="s">
        <v>161</v>
      </c>
      <c r="C32" s="23" t="s">
        <v>162</v>
      </c>
      <c r="D32" s="23" t="s">
        <v>163</v>
      </c>
      <c r="E32" s="31"/>
      <c r="F32" s="31"/>
      <c r="G32" s="31" t="s">
        <v>20</v>
      </c>
      <c r="H32" s="31"/>
      <c r="I32" s="31"/>
      <c r="J32" s="31"/>
    </row>
    <row r="33" spans="1:10">
      <c r="A33" s="23">
        <v>29</v>
      </c>
      <c r="B33" s="23" t="s">
        <v>161</v>
      </c>
      <c r="C33" s="23" t="s">
        <v>162</v>
      </c>
      <c r="D33" s="23" t="s">
        <v>165</v>
      </c>
      <c r="E33" s="31"/>
      <c r="F33" s="31"/>
      <c r="G33" s="31" t="s">
        <v>20</v>
      </c>
      <c r="H33" s="31" t="s">
        <v>20</v>
      </c>
      <c r="I33" s="31"/>
      <c r="J33" s="31"/>
    </row>
    <row r="34" spans="1:10">
      <c r="A34" s="23">
        <v>30</v>
      </c>
      <c r="B34" s="23" t="s">
        <v>161</v>
      </c>
      <c r="C34" s="23" t="s">
        <v>162</v>
      </c>
      <c r="D34" s="23" t="s">
        <v>168</v>
      </c>
      <c r="E34" s="31"/>
      <c r="F34" s="31"/>
      <c r="G34" s="31"/>
      <c r="H34" s="31" t="s">
        <v>20</v>
      </c>
      <c r="I34" s="31"/>
      <c r="J34" s="31"/>
    </row>
    <row r="35" spans="1:10">
      <c r="A35" s="23">
        <v>31</v>
      </c>
      <c r="B35" s="23" t="s">
        <v>161</v>
      </c>
      <c r="C35" s="23" t="s">
        <v>162</v>
      </c>
      <c r="D35" s="23" t="s">
        <v>170</v>
      </c>
      <c r="E35" s="31"/>
      <c r="F35" s="31"/>
      <c r="G35" s="31"/>
      <c r="H35" s="31" t="s">
        <v>20</v>
      </c>
      <c r="I35" s="31"/>
      <c r="J35" s="31"/>
    </row>
    <row r="36" spans="1:10">
      <c r="A36" s="23">
        <v>32</v>
      </c>
      <c r="B36" s="23" t="s">
        <v>161</v>
      </c>
      <c r="C36" s="23" t="s">
        <v>162</v>
      </c>
      <c r="D36" s="23" t="s">
        <v>172</v>
      </c>
      <c r="E36" s="31"/>
      <c r="F36" s="31"/>
      <c r="G36" s="31"/>
      <c r="H36" s="31" t="s">
        <v>20</v>
      </c>
      <c r="I36" s="31"/>
      <c r="J36" s="31"/>
    </row>
    <row r="37" spans="1:10">
      <c r="A37" s="23">
        <v>33</v>
      </c>
      <c r="B37" s="23" t="s">
        <v>161</v>
      </c>
      <c r="C37" s="23" t="s">
        <v>162</v>
      </c>
      <c r="D37" s="23" t="s">
        <v>174</v>
      </c>
      <c r="E37" s="31"/>
      <c r="F37" s="31"/>
      <c r="G37" s="31" t="s">
        <v>21</v>
      </c>
      <c r="H37" s="31"/>
      <c r="I37" s="31"/>
      <c r="J37" s="31"/>
    </row>
  </sheetData>
  <mergeCells count="1">
    <mergeCell ref="E3:K3"/>
  </mergeCells>
  <conditionalFormatting sqref="E5:J37">
    <cfRule type="expression" dxfId="23" priority="22">
      <formula>E5="Initial"</formula>
    </cfRule>
    <cfRule type="expression" dxfId="22" priority="23">
      <formula>E5="30 Day"</formula>
    </cfRule>
    <cfRule type="expression" dxfId="21" priority="24">
      <formula>E5="60 Day"</formula>
    </cfRule>
    <cfRule type="expression" dxfId="20" priority="25">
      <formula>E5="90 Day"</formula>
    </cfRule>
  </conditionalFormatting>
  <conditionalFormatting sqref="K5:K6">
    <cfRule type="expression" dxfId="19" priority="17">
      <formula>K5="Initial"</formula>
    </cfRule>
    <cfRule type="expression" dxfId="18" priority="18">
      <formula>K5="30 Day"</formula>
    </cfRule>
    <cfRule type="expression" dxfId="17" priority="19">
      <formula>K5="60 Day"</formula>
    </cfRule>
    <cfRule type="expression" dxfId="16" priority="20">
      <formula>K5="90 Day"</formula>
    </cfRule>
  </conditionalFormatting>
  <conditionalFormatting sqref="K7">
    <cfRule type="expression" dxfId="15" priority="13">
      <formula>K7="Initial"</formula>
    </cfRule>
    <cfRule type="expression" dxfId="14" priority="14">
      <formula>K7="30 Day"</formula>
    </cfRule>
    <cfRule type="expression" dxfId="13" priority="15">
      <formula>K7="60 Day"</formula>
    </cfRule>
    <cfRule type="expression" dxfId="12" priority="16">
      <formula>K7="90 Day"</formula>
    </cfRule>
  </conditionalFormatting>
  <conditionalFormatting sqref="K16">
    <cfRule type="expression" dxfId="11" priority="9">
      <formula>K16="Initial"</formula>
    </cfRule>
    <cfRule type="expression" dxfId="10" priority="10">
      <formula>K16="30 Day"</formula>
    </cfRule>
    <cfRule type="expression" dxfId="9" priority="11">
      <formula>K16="60 Day"</formula>
    </cfRule>
    <cfRule type="expression" dxfId="8" priority="12">
      <formula>K16="90 Day"</formula>
    </cfRule>
  </conditionalFormatting>
  <conditionalFormatting sqref="K29">
    <cfRule type="expression" dxfId="7" priority="5">
      <formula>K29="Initial"</formula>
    </cfRule>
    <cfRule type="expression" dxfId="6" priority="6">
      <formula>K29="30 Day"</formula>
    </cfRule>
    <cfRule type="expression" dxfId="5" priority="7">
      <formula>K29="60 Day"</formula>
    </cfRule>
    <cfRule type="expression" dxfId="4" priority="8">
      <formula>K29="90 Day"</formula>
    </cfRule>
  </conditionalFormatting>
  <conditionalFormatting sqref="K31">
    <cfRule type="expression" dxfId="3" priority="1">
      <formula>K31="Initial"</formula>
    </cfRule>
    <cfRule type="expression" dxfId="2" priority="2">
      <formula>K31="30 Day"</formula>
    </cfRule>
    <cfRule type="expression" dxfId="1" priority="3">
      <formula>K31="60 Day"</formula>
    </cfRule>
    <cfRule type="expression" dxfId="0" priority="4">
      <formula>K31="90 Day"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K6" sqref="K6"/>
    </sheetView>
  </sheetViews>
  <sheetFormatPr defaultColWidth="8.7109375" defaultRowHeight="15"/>
  <cols>
    <col min="1" max="1" width="5" customWidth="1"/>
    <col min="2" max="2" width="40" customWidth="1"/>
    <col min="3" max="3" width="32" customWidth="1"/>
    <col min="4" max="4" width="10" customWidth="1"/>
    <col min="5" max="5" width="16" customWidth="1"/>
    <col min="6" max="7" width="13" customWidth="1"/>
    <col min="8" max="10" width="11" customWidth="1"/>
    <col min="11" max="11" width="40" customWidth="1"/>
  </cols>
  <sheetData>
    <row r="1" spans="1:11" ht="20.25">
      <c r="A1" s="1" t="s">
        <v>175</v>
      </c>
    </row>
    <row r="2" spans="1:11">
      <c r="A2" s="2"/>
    </row>
    <row r="4" spans="1:11" ht="30" customHeight="1">
      <c r="A4" s="8" t="s">
        <v>36</v>
      </c>
      <c r="B4" s="8" t="s">
        <v>176</v>
      </c>
      <c r="C4" s="8" t="s">
        <v>177</v>
      </c>
      <c r="D4" s="8" t="s">
        <v>178</v>
      </c>
      <c r="E4" s="8" t="s">
        <v>41</v>
      </c>
      <c r="F4" s="8" t="s">
        <v>179</v>
      </c>
      <c r="G4" s="8" t="s">
        <v>42</v>
      </c>
      <c r="H4" s="8" t="s">
        <v>180</v>
      </c>
      <c r="I4" s="8" t="s">
        <v>44</v>
      </c>
      <c r="J4" s="8" t="s">
        <v>181</v>
      </c>
      <c r="K4" s="8" t="s">
        <v>182</v>
      </c>
    </row>
    <row r="5" spans="1:11">
      <c r="A5" s="23">
        <v>1</v>
      </c>
      <c r="B5" s="23" t="s">
        <v>183</v>
      </c>
      <c r="C5" s="23" t="s">
        <v>184</v>
      </c>
      <c r="D5" s="23" t="s">
        <v>185</v>
      </c>
      <c r="E5" s="24"/>
      <c r="F5" s="25"/>
      <c r="G5" s="24" t="s">
        <v>15</v>
      </c>
      <c r="H5" s="24"/>
      <c r="I5" s="24"/>
      <c r="J5" s="26" t="str">
        <f t="shared" ref="J5:J18" si="0">IF(N(H5)=0,"",I5/H5)</f>
        <v/>
      </c>
      <c r="K5" s="24"/>
    </row>
    <row r="6" spans="1:11">
      <c r="A6" s="23">
        <v>2</v>
      </c>
      <c r="B6" s="23" t="s">
        <v>186</v>
      </c>
      <c r="C6" s="23" t="s">
        <v>184</v>
      </c>
      <c r="D6" s="23" t="s">
        <v>185</v>
      </c>
      <c r="E6" s="24"/>
      <c r="F6" s="25"/>
      <c r="G6" s="24" t="s">
        <v>15</v>
      </c>
      <c r="H6" s="24"/>
      <c r="I6" s="24"/>
      <c r="J6" s="26" t="str">
        <f t="shared" si="0"/>
        <v/>
      </c>
      <c r="K6" s="24"/>
    </row>
    <row r="7" spans="1:11">
      <c r="A7" s="23">
        <v>3</v>
      </c>
      <c r="B7" s="23" t="s">
        <v>187</v>
      </c>
      <c r="C7" s="23" t="s">
        <v>184</v>
      </c>
      <c r="D7" s="23" t="s">
        <v>185</v>
      </c>
      <c r="E7" s="24"/>
      <c r="F7" s="25"/>
      <c r="G7" s="24" t="s">
        <v>15</v>
      </c>
      <c r="H7" s="24"/>
      <c r="I7" s="24"/>
      <c r="J7" s="26" t="str">
        <f t="shared" si="0"/>
        <v/>
      </c>
      <c r="K7" s="24"/>
    </row>
    <row r="8" spans="1:11">
      <c r="A8" s="23">
        <v>4</v>
      </c>
      <c r="B8" s="23" t="s">
        <v>188</v>
      </c>
      <c r="C8" s="23" t="s">
        <v>189</v>
      </c>
      <c r="D8" s="23" t="s">
        <v>185</v>
      </c>
      <c r="E8" s="24"/>
      <c r="F8" s="25"/>
      <c r="G8" s="24" t="s">
        <v>15</v>
      </c>
      <c r="H8" s="24"/>
      <c r="I8" s="24"/>
      <c r="J8" s="26" t="str">
        <f t="shared" si="0"/>
        <v/>
      </c>
      <c r="K8" s="24"/>
    </row>
    <row r="9" spans="1:11">
      <c r="A9" s="23">
        <v>5</v>
      </c>
      <c r="B9" s="23" t="s">
        <v>190</v>
      </c>
      <c r="C9" s="23" t="s">
        <v>189</v>
      </c>
      <c r="D9" s="23" t="s">
        <v>185</v>
      </c>
      <c r="E9" s="24"/>
      <c r="F9" s="25"/>
      <c r="G9" s="24" t="s">
        <v>15</v>
      </c>
      <c r="H9" s="24"/>
      <c r="I9" s="24"/>
      <c r="J9" s="26" t="str">
        <f t="shared" si="0"/>
        <v/>
      </c>
      <c r="K9" s="24"/>
    </row>
    <row r="10" spans="1:11">
      <c r="A10" s="23">
        <v>6</v>
      </c>
      <c r="B10" s="23" t="s">
        <v>191</v>
      </c>
      <c r="C10" s="23" t="s">
        <v>189</v>
      </c>
      <c r="D10" s="23" t="s">
        <v>185</v>
      </c>
      <c r="E10" s="24"/>
      <c r="F10" s="25"/>
      <c r="G10" s="24" t="s">
        <v>15</v>
      </c>
      <c r="H10" s="24"/>
      <c r="I10" s="24"/>
      <c r="J10" s="26" t="str">
        <f t="shared" si="0"/>
        <v/>
      </c>
      <c r="K10" s="24"/>
    </row>
    <row r="11" spans="1:11">
      <c r="A11" s="23">
        <v>7</v>
      </c>
      <c r="B11" s="23" t="s">
        <v>192</v>
      </c>
      <c r="C11" s="23" t="s">
        <v>193</v>
      </c>
      <c r="D11" s="23" t="s">
        <v>185</v>
      </c>
      <c r="E11" s="24"/>
      <c r="F11" s="25"/>
      <c r="G11" s="24" t="s">
        <v>15</v>
      </c>
      <c r="H11" s="24"/>
      <c r="I11" s="24"/>
      <c r="J11" s="26" t="str">
        <f t="shared" si="0"/>
        <v/>
      </c>
      <c r="K11" s="24"/>
    </row>
    <row r="12" spans="1:11">
      <c r="A12" s="23">
        <v>8</v>
      </c>
      <c r="B12" s="23" t="s">
        <v>194</v>
      </c>
      <c r="C12" s="23" t="s">
        <v>193</v>
      </c>
      <c r="D12" s="23" t="s">
        <v>185</v>
      </c>
      <c r="E12" s="24"/>
      <c r="F12" s="25"/>
      <c r="G12" s="24" t="s">
        <v>15</v>
      </c>
      <c r="H12" s="24"/>
      <c r="I12" s="24"/>
      <c r="J12" s="26" t="str">
        <f t="shared" si="0"/>
        <v/>
      </c>
      <c r="K12" s="24"/>
    </row>
    <row r="13" spans="1:11">
      <c r="A13" s="23">
        <v>9</v>
      </c>
      <c r="B13" s="23" t="s">
        <v>195</v>
      </c>
      <c r="C13" s="23" t="s">
        <v>193</v>
      </c>
      <c r="D13" s="23" t="s">
        <v>185</v>
      </c>
      <c r="E13" s="24"/>
      <c r="F13" s="25"/>
      <c r="G13" s="24" t="s">
        <v>15</v>
      </c>
      <c r="H13" s="24"/>
      <c r="I13" s="24"/>
      <c r="J13" s="26" t="str">
        <f t="shared" si="0"/>
        <v/>
      </c>
      <c r="K13" s="24"/>
    </row>
    <row r="14" spans="1:11">
      <c r="A14" s="23">
        <v>10</v>
      </c>
      <c r="B14" s="23" t="s">
        <v>196</v>
      </c>
      <c r="C14" s="23" t="s">
        <v>193</v>
      </c>
      <c r="D14" s="23" t="s">
        <v>185</v>
      </c>
      <c r="E14" s="24"/>
      <c r="F14" s="25"/>
      <c r="G14" s="24" t="s">
        <v>15</v>
      </c>
      <c r="H14" s="24"/>
      <c r="I14" s="24"/>
      <c r="J14" s="26" t="str">
        <f t="shared" si="0"/>
        <v/>
      </c>
      <c r="K14" s="24"/>
    </row>
    <row r="15" spans="1:11">
      <c r="A15" s="23">
        <v>11</v>
      </c>
      <c r="B15" s="23" t="s">
        <v>197</v>
      </c>
      <c r="C15" s="23" t="s">
        <v>198</v>
      </c>
      <c r="D15" s="23" t="s">
        <v>185</v>
      </c>
      <c r="E15" s="24"/>
      <c r="F15" s="25"/>
      <c r="G15" s="24" t="s">
        <v>15</v>
      </c>
      <c r="H15" s="24"/>
      <c r="I15" s="24"/>
      <c r="J15" s="26" t="str">
        <f t="shared" si="0"/>
        <v/>
      </c>
      <c r="K15" s="24"/>
    </row>
    <row r="16" spans="1:11">
      <c r="A16" s="23">
        <v>12</v>
      </c>
      <c r="B16" s="23" t="s">
        <v>199</v>
      </c>
      <c r="C16" s="23" t="s">
        <v>198</v>
      </c>
      <c r="D16" s="23" t="s">
        <v>185</v>
      </c>
      <c r="E16" s="24"/>
      <c r="F16" s="25"/>
      <c r="G16" s="24" t="s">
        <v>15</v>
      </c>
      <c r="H16" s="24"/>
      <c r="I16" s="24"/>
      <c r="J16" s="26" t="str">
        <f t="shared" si="0"/>
        <v/>
      </c>
      <c r="K16" s="24"/>
    </row>
    <row r="17" spans="1:11">
      <c r="A17" s="23">
        <v>13</v>
      </c>
      <c r="B17" s="23" t="s">
        <v>200</v>
      </c>
      <c r="C17" s="23" t="s">
        <v>201</v>
      </c>
      <c r="D17" s="23" t="s">
        <v>185</v>
      </c>
      <c r="E17" s="24"/>
      <c r="F17" s="25"/>
      <c r="G17" s="24" t="s">
        <v>15</v>
      </c>
      <c r="H17" s="24"/>
      <c r="I17" s="24"/>
      <c r="J17" s="26" t="str">
        <f t="shared" si="0"/>
        <v/>
      </c>
      <c r="K17" s="24"/>
    </row>
    <row r="18" spans="1:11">
      <c r="A18" s="23">
        <v>14</v>
      </c>
      <c r="B18" s="23" t="s">
        <v>202</v>
      </c>
      <c r="C18" s="23" t="s">
        <v>203</v>
      </c>
      <c r="D18" s="23" t="s">
        <v>204</v>
      </c>
      <c r="E18" s="24"/>
      <c r="F18" s="25"/>
      <c r="G18" s="24" t="s">
        <v>15</v>
      </c>
      <c r="H18" s="24"/>
      <c r="I18" s="24"/>
      <c r="J18" s="26" t="str">
        <f t="shared" si="0"/>
        <v/>
      </c>
      <c r="K18" s="24"/>
    </row>
  </sheetData>
  <conditionalFormatting sqref="G5:G18">
    <cfRule type="expression" dxfId="31" priority="2">
      <formula>$G5="Done"</formula>
    </cfRule>
    <cfRule type="expression" dxfId="30" priority="3">
      <formula>$G5="In progress"</formula>
    </cfRule>
    <cfRule type="expression" dxfId="29" priority="4">
      <formula>$G5="Blocked"</formula>
    </cfRule>
    <cfRule type="expression" dxfId="28" priority="5">
      <formula>$G5="N/A"</formula>
    </cfRule>
  </conditionalFormatting>
  <conditionalFormatting sqref="J5:J18">
    <cfRule type="dataBar" priority="6">
      <dataBar>
        <cfvo type="num" val="0"/>
        <cfvo type="num" val="1"/>
        <color rgb="FF0E6B5C"/>
      </dataBar>
      <extLst xmlns:x14="http://schemas.microsoft.com/office/spreadsheetml/2009/9/main">
        <ext uri="{B025F937-C7B1-47D3-B67F-A62EFF666E3E}">
          <x14:id>{9C6663A8-EA5E-4E20-B3E5-2512E26F5098}</x14:id>
        </ext>
      </extLst>
    </cfRule>
  </conditionalFormatting>
  <dataValidations count="1">
    <dataValidation type="list" sqref="G5:G18">
      <formula1>Settings!$A$18:$A$22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 xmlns:x14="http://schemas.microsoft.com/office/spreadsheetml/2009/9/main">
    <ext uri="{78C0D931-6437-407d-A8EE-F0AAD7539E65}">
      <x14:conditionalFormattings>
        <x14:conditionalFormatting xmlns:xm="http://schemas.microsoft.com/office/excel/2006/main">
          <x14:cfRule type="dataBar" id="{9C6663A8-EA5E-4E20-B3E5-2512E26F509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0E6B5C"/>
              <x14:axisColor rgb="FF000000"/>
            </x14:dataBar>
          </x14:cfRule>
          <xm:sqref>J5:J18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P96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5" sqref="A5"/>
    </sheetView>
  </sheetViews>
  <sheetFormatPr defaultColWidth="8.7109375" defaultRowHeight="15"/>
  <cols>
    <col min="1" max="1" width="9" customWidth="1"/>
    <col min="2" max="2" width="5" customWidth="1"/>
    <col min="3" max="3" width="30" customWidth="1"/>
    <col min="4" max="4" width="18" customWidth="1"/>
    <col min="5" max="5" width="46" customWidth="1"/>
    <col min="6" max="6" width="24" customWidth="1"/>
    <col min="7" max="7" width="9" customWidth="1"/>
    <col min="8" max="8" width="12" customWidth="1"/>
    <col min="9" max="9" width="16" customWidth="1"/>
    <col min="10" max="10" width="13" customWidth="1"/>
    <col min="11" max="12" width="11" customWidth="1"/>
    <col min="13" max="13" width="30" customWidth="1"/>
    <col min="14" max="14" width="40" customWidth="1"/>
    <col min="15" max="15" width="10" customWidth="1"/>
    <col min="16" max="16" width="9" customWidth="1"/>
  </cols>
  <sheetData>
    <row r="1" spans="1:16" ht="20.25">
      <c r="A1" s="1" t="s">
        <v>34</v>
      </c>
    </row>
    <row r="2" spans="1:16">
      <c r="A2" s="2"/>
    </row>
    <row r="4" spans="1:16" ht="30" customHeight="1">
      <c r="A4" s="8" t="s">
        <v>35</v>
      </c>
      <c r="B4" s="8" t="s">
        <v>36</v>
      </c>
      <c r="C4" s="8" t="s">
        <v>37</v>
      </c>
      <c r="D4" s="8" t="s">
        <v>38</v>
      </c>
      <c r="E4" s="8" t="s">
        <v>39</v>
      </c>
      <c r="F4" s="8" t="s">
        <v>25</v>
      </c>
      <c r="G4" s="8" t="s">
        <v>9</v>
      </c>
      <c r="H4" s="8" t="s">
        <v>40</v>
      </c>
      <c r="I4" s="8" t="s">
        <v>41</v>
      </c>
      <c r="J4" s="8" t="s">
        <v>42</v>
      </c>
      <c r="K4" s="8" t="s">
        <v>43</v>
      </c>
      <c r="L4" s="8" t="s">
        <v>44</v>
      </c>
      <c r="M4" s="8" t="s">
        <v>45</v>
      </c>
      <c r="N4" s="8" t="s">
        <v>46</v>
      </c>
      <c r="O4" s="8" t="s">
        <v>18</v>
      </c>
      <c r="P4" s="8" t="s">
        <v>47</v>
      </c>
    </row>
    <row r="5" spans="1:16">
      <c r="A5" s="17" t="s">
        <v>48</v>
      </c>
      <c r="B5" s="17">
        <v>1</v>
      </c>
      <c r="C5" s="17" t="s">
        <v>49</v>
      </c>
      <c r="D5" s="17" t="s">
        <v>50</v>
      </c>
      <c r="E5" s="18" t="s">
        <v>51</v>
      </c>
      <c r="F5" s="17" t="s">
        <v>26</v>
      </c>
      <c r="G5" s="17" t="s">
        <v>19</v>
      </c>
      <c r="H5" s="19">
        <f>INDEX(Settings!$C$11:$C$14,MATCH(G5,Settings!$A$11:$A$14,0))</f>
        <v>46249</v>
      </c>
      <c r="I5" s="20"/>
      <c r="J5" s="20" t="s">
        <v>12</v>
      </c>
      <c r="K5" s="21"/>
      <c r="L5" s="21"/>
      <c r="M5" s="22"/>
      <c r="N5" s="22"/>
      <c r="O5" s="17" t="str">
        <f ca="1">IF(AND(J5&lt;&gt;"Done",J5&lt;&gt;"N/A",Settings!$B$5&gt;H5),"Overdue","")</f>
        <v/>
      </c>
      <c r="P5" s="17" t="str">
        <f ca="1">IF(O5="Overdue",Settings!$B$5-H5,"")</f>
        <v/>
      </c>
    </row>
    <row r="6" spans="1:16">
      <c r="A6" s="17" t="s">
        <v>52</v>
      </c>
      <c r="B6" s="17">
        <v>1</v>
      </c>
      <c r="C6" s="17" t="s">
        <v>49</v>
      </c>
      <c r="D6" s="17" t="s">
        <v>50</v>
      </c>
      <c r="E6" s="18" t="s">
        <v>51</v>
      </c>
      <c r="F6" s="17" t="s">
        <v>28</v>
      </c>
      <c r="G6" s="17" t="s">
        <v>19</v>
      </c>
      <c r="H6" s="19">
        <f>INDEX(Settings!$C$11:$C$14,MATCH(G6,Settings!$A$11:$A$14,0))</f>
        <v>46249</v>
      </c>
      <c r="I6" s="20"/>
      <c r="J6" s="20" t="s">
        <v>12</v>
      </c>
      <c r="K6" s="21"/>
      <c r="L6" s="21"/>
      <c r="M6" s="22"/>
      <c r="N6" s="22"/>
      <c r="O6" s="17" t="str">
        <f ca="1">IF(AND(J6&lt;&gt;"Done",J6&lt;&gt;"N/A",Settings!$B$5&gt;H6),"Overdue","")</f>
        <v/>
      </c>
      <c r="P6" s="17" t="str">
        <f ca="1">IF(O6="Overdue",Settings!$B$5-H6,"")</f>
        <v/>
      </c>
    </row>
    <row r="7" spans="1:16">
      <c r="A7" s="17" t="s">
        <v>53</v>
      </c>
      <c r="B7" s="17">
        <v>1</v>
      </c>
      <c r="C7" s="17" t="s">
        <v>49</v>
      </c>
      <c r="D7" s="17" t="s">
        <v>50</v>
      </c>
      <c r="E7" s="18" t="s">
        <v>51</v>
      </c>
      <c r="F7" s="17" t="s">
        <v>29</v>
      </c>
      <c r="G7" s="17" t="s">
        <v>19</v>
      </c>
      <c r="H7" s="19">
        <f>INDEX(Settings!$C$11:$C$14,MATCH(G7,Settings!$A$11:$A$14,0))</f>
        <v>46249</v>
      </c>
      <c r="I7" s="20"/>
      <c r="J7" s="20" t="s">
        <v>12</v>
      </c>
      <c r="K7" s="21"/>
      <c r="L7" s="21"/>
      <c r="M7" s="22"/>
      <c r="N7" s="22"/>
      <c r="O7" s="17" t="str">
        <f ca="1">IF(AND(J7&lt;&gt;"Done",J7&lt;&gt;"N/A",Settings!$B$5&gt;H7),"Overdue","")</f>
        <v/>
      </c>
      <c r="P7" s="17" t="str">
        <f ca="1">IF(O7="Overdue",Settings!$B$5-H7,"")</f>
        <v/>
      </c>
    </row>
    <row r="8" spans="1:16">
      <c r="A8" s="17" t="s">
        <v>54</v>
      </c>
      <c r="B8" s="17">
        <v>1</v>
      </c>
      <c r="C8" s="17" t="s">
        <v>49</v>
      </c>
      <c r="D8" s="17" t="s">
        <v>50</v>
      </c>
      <c r="E8" s="18" t="s">
        <v>51</v>
      </c>
      <c r="F8" s="17" t="s">
        <v>30</v>
      </c>
      <c r="G8" s="17" t="s">
        <v>19</v>
      </c>
      <c r="H8" s="19">
        <f>INDEX(Settings!$C$11:$C$14,MATCH(G8,Settings!$A$11:$A$14,0))</f>
        <v>46249</v>
      </c>
      <c r="I8" s="20"/>
      <c r="J8" s="20" t="s">
        <v>12</v>
      </c>
      <c r="K8" s="21"/>
      <c r="L8" s="21"/>
      <c r="M8" s="22"/>
      <c r="N8" s="22"/>
      <c r="O8" s="17" t="str">
        <f ca="1">IF(AND(J8&lt;&gt;"Done",J8&lt;&gt;"N/A",Settings!$B$5&gt;H8),"Overdue","")</f>
        <v/>
      </c>
      <c r="P8" s="17" t="str">
        <f ca="1">IF(O8="Overdue",Settings!$B$5-H8,"")</f>
        <v/>
      </c>
    </row>
    <row r="9" spans="1:16">
      <c r="A9" s="17" t="s">
        <v>55</v>
      </c>
      <c r="B9" s="17">
        <v>1</v>
      </c>
      <c r="C9" s="17" t="s">
        <v>49</v>
      </c>
      <c r="D9" s="17" t="s">
        <v>50</v>
      </c>
      <c r="E9" s="18" t="s">
        <v>51</v>
      </c>
      <c r="F9" s="17" t="s">
        <v>31</v>
      </c>
      <c r="G9" s="17" t="s">
        <v>19</v>
      </c>
      <c r="H9" s="19">
        <f>INDEX(Settings!$C$11:$C$14,MATCH(G9,Settings!$A$11:$A$14,0))</f>
        <v>46249</v>
      </c>
      <c r="I9" s="20"/>
      <c r="J9" s="20" t="s">
        <v>12</v>
      </c>
      <c r="K9" s="21"/>
      <c r="L9" s="21"/>
      <c r="M9" s="22"/>
      <c r="N9" s="22"/>
      <c r="O9" s="17" t="str">
        <f ca="1">IF(AND(J9&lt;&gt;"Done",J9&lt;&gt;"N/A",Settings!$B$5&gt;H9),"Overdue","")</f>
        <v/>
      </c>
      <c r="P9" s="17" t="str">
        <f ca="1">IF(O9="Overdue",Settings!$B$5-H9,"")</f>
        <v/>
      </c>
    </row>
    <row r="10" spans="1:16">
      <c r="A10" s="17" t="s">
        <v>56</v>
      </c>
      <c r="B10" s="17">
        <v>1</v>
      </c>
      <c r="C10" s="17" t="s">
        <v>49</v>
      </c>
      <c r="D10" s="17" t="s">
        <v>50</v>
      </c>
      <c r="E10" s="18" t="s">
        <v>51</v>
      </c>
      <c r="F10" s="17" t="s">
        <v>234</v>
      </c>
      <c r="G10" s="17" t="s">
        <v>19</v>
      </c>
      <c r="H10" s="19">
        <f>INDEX(Settings!$C$11:$C$14,MATCH(G10,Settings!$A$11:$A$14,0))</f>
        <v>46249</v>
      </c>
      <c r="I10" s="20"/>
      <c r="J10" s="20" t="s">
        <v>12</v>
      </c>
      <c r="K10" s="21"/>
      <c r="L10" s="21"/>
      <c r="M10" s="22"/>
      <c r="N10" s="22"/>
      <c r="O10" s="17" t="str">
        <f ca="1">IF(AND(J10&lt;&gt;"Done",J10&lt;&gt;"N/A",Settings!$B$5&gt;H10),"Overdue","")</f>
        <v/>
      </c>
      <c r="P10" s="17" t="str">
        <f ca="1">IF(O10="Overdue",Settings!$B$5-H10,"")</f>
        <v/>
      </c>
    </row>
    <row r="11" spans="1:16">
      <c r="A11" s="17" t="s">
        <v>57</v>
      </c>
      <c r="B11" s="17">
        <v>2</v>
      </c>
      <c r="C11" s="17" t="s">
        <v>49</v>
      </c>
      <c r="D11" s="17" t="s">
        <v>58</v>
      </c>
      <c r="E11" s="18" t="s">
        <v>59</v>
      </c>
      <c r="F11" s="17" t="s">
        <v>26</v>
      </c>
      <c r="G11" s="17" t="s">
        <v>19</v>
      </c>
      <c r="H11" s="19">
        <f>INDEX(Settings!$C$11:$C$14,MATCH(G11,Settings!$A$11:$A$14,0))</f>
        <v>46249</v>
      </c>
      <c r="I11" s="20"/>
      <c r="J11" s="20" t="s">
        <v>12</v>
      </c>
      <c r="K11" s="21"/>
      <c r="L11" s="21"/>
      <c r="M11" s="22"/>
      <c r="N11" s="22"/>
      <c r="O11" s="17" t="str">
        <f ca="1">IF(AND(J11&lt;&gt;"Done",J11&lt;&gt;"N/A",Settings!$B$5&gt;H11),"Overdue","")</f>
        <v/>
      </c>
      <c r="P11" s="17" t="str">
        <f ca="1">IF(O11="Overdue",Settings!$B$5-H11,"")</f>
        <v/>
      </c>
    </row>
    <row r="12" spans="1:16">
      <c r="A12" s="17" t="s">
        <v>60</v>
      </c>
      <c r="B12" s="17">
        <v>2</v>
      </c>
      <c r="C12" s="17" t="s">
        <v>49</v>
      </c>
      <c r="D12" s="17" t="s">
        <v>58</v>
      </c>
      <c r="E12" s="18" t="s">
        <v>59</v>
      </c>
      <c r="F12" s="17" t="s">
        <v>28</v>
      </c>
      <c r="G12" s="17" t="s">
        <v>19</v>
      </c>
      <c r="H12" s="19">
        <f>INDEX(Settings!$C$11:$C$14,MATCH(G12,Settings!$A$11:$A$14,0))</f>
        <v>46249</v>
      </c>
      <c r="I12" s="20"/>
      <c r="J12" s="20" t="s">
        <v>12</v>
      </c>
      <c r="K12" s="21"/>
      <c r="L12" s="21"/>
      <c r="M12" s="22"/>
      <c r="N12" s="22"/>
      <c r="O12" s="17" t="str">
        <f ca="1">IF(AND(J12&lt;&gt;"Done",J12&lt;&gt;"N/A",Settings!$B$5&gt;H12),"Overdue","")</f>
        <v/>
      </c>
      <c r="P12" s="17" t="str">
        <f ca="1">IF(O12="Overdue",Settings!$B$5-H12,"")</f>
        <v/>
      </c>
    </row>
    <row r="13" spans="1:16">
      <c r="A13" s="17" t="s">
        <v>61</v>
      </c>
      <c r="B13" s="17">
        <v>2</v>
      </c>
      <c r="C13" s="17" t="s">
        <v>49</v>
      </c>
      <c r="D13" s="17" t="s">
        <v>58</v>
      </c>
      <c r="E13" s="18" t="s">
        <v>59</v>
      </c>
      <c r="F13" s="17" t="s">
        <v>29</v>
      </c>
      <c r="G13" s="17" t="s">
        <v>19</v>
      </c>
      <c r="H13" s="19">
        <f>INDEX(Settings!$C$11:$C$14,MATCH(G13,Settings!$A$11:$A$14,0))</f>
        <v>46249</v>
      </c>
      <c r="I13" s="20"/>
      <c r="J13" s="20" t="s">
        <v>12</v>
      </c>
      <c r="K13" s="21"/>
      <c r="L13" s="21"/>
      <c r="M13" s="22"/>
      <c r="N13" s="22"/>
      <c r="O13" s="17" t="str">
        <f ca="1">IF(AND(J13&lt;&gt;"Done",J13&lt;&gt;"N/A",Settings!$B$5&gt;H13),"Overdue","")</f>
        <v/>
      </c>
      <c r="P13" s="17" t="str">
        <f ca="1">IF(O13="Overdue",Settings!$B$5-H13,"")</f>
        <v/>
      </c>
    </row>
    <row r="14" spans="1:16">
      <c r="A14" s="17" t="s">
        <v>62</v>
      </c>
      <c r="B14" s="17">
        <v>2</v>
      </c>
      <c r="C14" s="17" t="s">
        <v>49</v>
      </c>
      <c r="D14" s="17" t="s">
        <v>58</v>
      </c>
      <c r="E14" s="18" t="s">
        <v>59</v>
      </c>
      <c r="F14" s="17" t="s">
        <v>30</v>
      </c>
      <c r="G14" s="17" t="s">
        <v>19</v>
      </c>
      <c r="H14" s="19">
        <f>INDEX(Settings!$C$11:$C$14,MATCH(G14,Settings!$A$11:$A$14,0))</f>
        <v>46249</v>
      </c>
      <c r="I14" s="20"/>
      <c r="J14" s="20" t="s">
        <v>12</v>
      </c>
      <c r="K14" s="21"/>
      <c r="L14" s="21"/>
      <c r="M14" s="22"/>
      <c r="N14" s="22"/>
      <c r="O14" s="17" t="str">
        <f ca="1">IF(AND(J14&lt;&gt;"Done",J14&lt;&gt;"N/A",Settings!$B$5&gt;H14),"Overdue","")</f>
        <v/>
      </c>
      <c r="P14" s="17" t="str">
        <f ca="1">IF(O14="Overdue",Settings!$B$5-H14,"")</f>
        <v/>
      </c>
    </row>
    <row r="15" spans="1:16">
      <c r="A15" s="17" t="s">
        <v>63</v>
      </c>
      <c r="B15" s="17">
        <v>2</v>
      </c>
      <c r="C15" s="17" t="s">
        <v>49</v>
      </c>
      <c r="D15" s="17" t="s">
        <v>58</v>
      </c>
      <c r="E15" s="18" t="s">
        <v>59</v>
      </c>
      <c r="F15" s="17" t="s">
        <v>31</v>
      </c>
      <c r="G15" s="17" t="s">
        <v>19</v>
      </c>
      <c r="H15" s="19">
        <f>INDEX(Settings!$C$11:$C$14,MATCH(G15,Settings!$A$11:$A$14,0))</f>
        <v>46249</v>
      </c>
      <c r="I15" s="20"/>
      <c r="J15" s="20" t="s">
        <v>12</v>
      </c>
      <c r="K15" s="21"/>
      <c r="L15" s="21"/>
      <c r="M15" s="22"/>
      <c r="N15" s="22"/>
      <c r="O15" s="17" t="str">
        <f ca="1">IF(AND(J15&lt;&gt;"Done",J15&lt;&gt;"N/A",Settings!$B$5&gt;H15),"Overdue","")</f>
        <v/>
      </c>
      <c r="P15" s="17" t="str">
        <f ca="1">IF(O15="Overdue",Settings!$B$5-H15,"")</f>
        <v/>
      </c>
    </row>
    <row r="16" spans="1:16">
      <c r="A16" s="17" t="s">
        <v>64</v>
      </c>
      <c r="B16" s="17">
        <v>2</v>
      </c>
      <c r="C16" s="17" t="s">
        <v>49</v>
      </c>
      <c r="D16" s="17" t="s">
        <v>58</v>
      </c>
      <c r="E16" s="18" t="s">
        <v>59</v>
      </c>
      <c r="F16" s="17" t="s">
        <v>234</v>
      </c>
      <c r="G16" s="17" t="s">
        <v>19</v>
      </c>
      <c r="H16" s="19">
        <f>INDEX(Settings!$C$11:$C$14,MATCH(G16,Settings!$A$11:$A$14,0))</f>
        <v>46249</v>
      </c>
      <c r="I16" s="20"/>
      <c r="J16" s="20" t="s">
        <v>12</v>
      </c>
      <c r="K16" s="21"/>
      <c r="L16" s="21"/>
      <c r="M16" s="22"/>
      <c r="N16" s="22"/>
      <c r="O16" s="17" t="str">
        <f ca="1">IF(AND(J16&lt;&gt;"Done",J16&lt;&gt;"N/A",Settings!$B$5&gt;H16),"Overdue","")</f>
        <v/>
      </c>
      <c r="P16" s="17" t="str">
        <f ca="1">IF(O16="Overdue",Settings!$B$5-H16,"")</f>
        <v/>
      </c>
    </row>
    <row r="17" spans="1:16" ht="25.5">
      <c r="A17" s="17" t="s">
        <v>65</v>
      </c>
      <c r="B17" s="17">
        <v>3</v>
      </c>
      <c r="C17" s="17" t="s">
        <v>66</v>
      </c>
      <c r="D17" s="17" t="s">
        <v>67</v>
      </c>
      <c r="E17" s="18" t="s">
        <v>68</v>
      </c>
      <c r="F17" s="17" t="s">
        <v>26</v>
      </c>
      <c r="G17" s="17" t="s">
        <v>20</v>
      </c>
      <c r="H17" s="19">
        <f>INDEX(Settings!$C$11:$C$14,MATCH(G17,Settings!$A$11:$A$14,0))</f>
        <v>46265</v>
      </c>
      <c r="I17" s="20"/>
      <c r="J17" s="20" t="s">
        <v>15</v>
      </c>
      <c r="K17" s="21"/>
      <c r="L17" s="21"/>
      <c r="M17" s="22"/>
      <c r="N17" s="22"/>
      <c r="O17" s="17" t="str">
        <f ca="1">IF(AND(J17&lt;&gt;"Done",J17&lt;&gt;"N/A",Settings!$B$5&gt;H17),"Overdue","")</f>
        <v>Overdue</v>
      </c>
      <c r="P17" s="17">
        <f ca="1">IF(O17="Overdue",Settings!$B$5-H17,"")</f>
        <v>30</v>
      </c>
    </row>
    <row r="18" spans="1:16" ht="25.5">
      <c r="A18" s="17" t="s">
        <v>69</v>
      </c>
      <c r="B18" s="17">
        <v>3</v>
      </c>
      <c r="C18" s="17" t="s">
        <v>66</v>
      </c>
      <c r="D18" s="17" t="s">
        <v>67</v>
      </c>
      <c r="E18" s="18" t="s">
        <v>68</v>
      </c>
      <c r="F18" s="17" t="s">
        <v>28</v>
      </c>
      <c r="G18" s="17" t="s">
        <v>20</v>
      </c>
      <c r="H18" s="19">
        <f>INDEX(Settings!$C$11:$C$14,MATCH(G18,Settings!$A$11:$A$14,0))</f>
        <v>46265</v>
      </c>
      <c r="I18" s="20"/>
      <c r="J18" s="20" t="s">
        <v>15</v>
      </c>
      <c r="K18" s="21"/>
      <c r="L18" s="21"/>
      <c r="M18" s="22"/>
      <c r="N18" s="22"/>
      <c r="O18" s="17" t="str">
        <f ca="1">IF(AND(J18&lt;&gt;"Done",J18&lt;&gt;"N/A",Settings!$B$5&gt;H18),"Overdue","")</f>
        <v>Overdue</v>
      </c>
      <c r="P18" s="17">
        <f ca="1">IF(O18="Overdue",Settings!$B$5-H18,"")</f>
        <v>30</v>
      </c>
    </row>
    <row r="19" spans="1:16" ht="25.5">
      <c r="A19" s="17" t="s">
        <v>70</v>
      </c>
      <c r="B19" s="17">
        <v>3</v>
      </c>
      <c r="C19" s="17" t="s">
        <v>66</v>
      </c>
      <c r="D19" s="17" t="s">
        <v>67</v>
      </c>
      <c r="E19" s="18" t="s">
        <v>68</v>
      </c>
      <c r="F19" s="17" t="s">
        <v>29</v>
      </c>
      <c r="G19" s="17" t="s">
        <v>20</v>
      </c>
      <c r="H19" s="19">
        <f>INDEX(Settings!$C$11:$C$14,MATCH(G19,Settings!$A$11:$A$14,0))</f>
        <v>46265</v>
      </c>
      <c r="I19" s="20"/>
      <c r="J19" s="20" t="s">
        <v>15</v>
      </c>
      <c r="K19" s="21"/>
      <c r="L19" s="21"/>
      <c r="M19" s="22"/>
      <c r="N19" s="22"/>
      <c r="O19" s="17" t="str">
        <f ca="1">IF(AND(J19&lt;&gt;"Done",J19&lt;&gt;"N/A",Settings!$B$5&gt;H19),"Overdue","")</f>
        <v>Overdue</v>
      </c>
      <c r="P19" s="17">
        <f ca="1">IF(O19="Overdue",Settings!$B$5-H19,"")</f>
        <v>30</v>
      </c>
    </row>
    <row r="20" spans="1:16" ht="25.5">
      <c r="A20" s="17" t="s">
        <v>71</v>
      </c>
      <c r="B20" s="17">
        <v>3</v>
      </c>
      <c r="C20" s="17" t="s">
        <v>66</v>
      </c>
      <c r="D20" s="17" t="s">
        <v>67</v>
      </c>
      <c r="E20" s="18" t="s">
        <v>68</v>
      </c>
      <c r="F20" s="17" t="s">
        <v>30</v>
      </c>
      <c r="G20" s="17" t="s">
        <v>20</v>
      </c>
      <c r="H20" s="19">
        <f>INDEX(Settings!$C$11:$C$14,MATCH(G20,Settings!$A$11:$A$14,0))</f>
        <v>46265</v>
      </c>
      <c r="I20" s="20"/>
      <c r="J20" s="20" t="s">
        <v>15</v>
      </c>
      <c r="K20" s="21"/>
      <c r="L20" s="21"/>
      <c r="M20" s="22"/>
      <c r="N20" s="22"/>
      <c r="O20" s="17" t="str">
        <f ca="1">IF(AND(J20&lt;&gt;"Done",J20&lt;&gt;"N/A",Settings!$B$5&gt;H20),"Overdue","")</f>
        <v>Overdue</v>
      </c>
      <c r="P20" s="17">
        <f ca="1">IF(O20="Overdue",Settings!$B$5-H20,"")</f>
        <v>30</v>
      </c>
    </row>
    <row r="21" spans="1:16" ht="25.5">
      <c r="A21" s="17" t="s">
        <v>72</v>
      </c>
      <c r="B21" s="17">
        <v>3</v>
      </c>
      <c r="C21" s="17" t="s">
        <v>66</v>
      </c>
      <c r="D21" s="17" t="s">
        <v>67</v>
      </c>
      <c r="E21" s="18" t="s">
        <v>68</v>
      </c>
      <c r="F21" s="17" t="s">
        <v>31</v>
      </c>
      <c r="G21" s="17" t="s">
        <v>20</v>
      </c>
      <c r="H21" s="19">
        <f>INDEX(Settings!$C$11:$C$14,MATCH(G21,Settings!$A$11:$A$14,0))</f>
        <v>46265</v>
      </c>
      <c r="I21" s="20"/>
      <c r="J21" s="20" t="s">
        <v>15</v>
      </c>
      <c r="K21" s="21"/>
      <c r="L21" s="21"/>
      <c r="M21" s="22"/>
      <c r="N21" s="22"/>
      <c r="O21" s="17" t="str">
        <f ca="1">IF(AND(J21&lt;&gt;"Done",J21&lt;&gt;"N/A",Settings!$B$5&gt;H21),"Overdue","")</f>
        <v>Overdue</v>
      </c>
      <c r="P21" s="17">
        <f ca="1">IF(O21="Overdue",Settings!$B$5-H21,"")</f>
        <v>30</v>
      </c>
    </row>
    <row r="22" spans="1:16" ht="25.5">
      <c r="A22" s="17" t="s">
        <v>73</v>
      </c>
      <c r="B22" s="17">
        <v>3</v>
      </c>
      <c r="C22" s="17" t="s">
        <v>66</v>
      </c>
      <c r="D22" s="17" t="s">
        <v>67</v>
      </c>
      <c r="E22" s="18" t="s">
        <v>68</v>
      </c>
      <c r="F22" s="17" t="s">
        <v>234</v>
      </c>
      <c r="G22" s="17" t="s">
        <v>20</v>
      </c>
      <c r="H22" s="19">
        <f>INDEX(Settings!$C$11:$C$14,MATCH(G22,Settings!$A$11:$A$14,0))</f>
        <v>46265</v>
      </c>
      <c r="I22" s="20"/>
      <c r="J22" s="20" t="s">
        <v>15</v>
      </c>
      <c r="K22" s="21"/>
      <c r="L22" s="21"/>
      <c r="M22" s="22"/>
      <c r="N22" s="22"/>
      <c r="O22" s="17" t="str">
        <f ca="1">IF(AND(J22&lt;&gt;"Done",J22&lt;&gt;"N/A",Settings!$B$5&gt;H22),"Overdue","")</f>
        <v>Overdue</v>
      </c>
      <c r="P22" s="17">
        <f ca="1">IF(O22="Overdue",Settings!$B$5-H22,"")</f>
        <v>30</v>
      </c>
    </row>
    <row r="23" spans="1:16">
      <c r="A23" s="17" t="s">
        <v>74</v>
      </c>
      <c r="B23" s="17">
        <v>4</v>
      </c>
      <c r="C23" s="17" t="s">
        <v>66</v>
      </c>
      <c r="D23" s="17" t="s">
        <v>67</v>
      </c>
      <c r="E23" s="18" t="s">
        <v>75</v>
      </c>
      <c r="F23" s="17" t="s">
        <v>26</v>
      </c>
      <c r="G23" s="17" t="s">
        <v>20</v>
      </c>
      <c r="H23" s="19">
        <f>INDEX(Settings!$C$11:$C$14,MATCH(G23,Settings!$A$11:$A$14,0))</f>
        <v>46265</v>
      </c>
      <c r="I23" s="20"/>
      <c r="J23" s="20" t="s">
        <v>15</v>
      </c>
      <c r="K23" s="21"/>
      <c r="L23" s="21"/>
      <c r="M23" s="22"/>
      <c r="N23" s="22"/>
      <c r="O23" s="17" t="str">
        <f ca="1">IF(AND(J23&lt;&gt;"Done",J23&lt;&gt;"N/A",Settings!$B$5&gt;H23),"Overdue","")</f>
        <v>Overdue</v>
      </c>
      <c r="P23" s="17">
        <f ca="1">IF(O23="Overdue",Settings!$B$5-H23,"")</f>
        <v>30</v>
      </c>
    </row>
    <row r="24" spans="1:16">
      <c r="A24" s="17" t="s">
        <v>76</v>
      </c>
      <c r="B24" s="17">
        <v>4</v>
      </c>
      <c r="C24" s="17" t="s">
        <v>66</v>
      </c>
      <c r="D24" s="17" t="s">
        <v>67</v>
      </c>
      <c r="E24" s="18" t="s">
        <v>75</v>
      </c>
      <c r="F24" s="17" t="s">
        <v>28</v>
      </c>
      <c r="G24" s="17" t="s">
        <v>20</v>
      </c>
      <c r="H24" s="19">
        <f>INDEX(Settings!$C$11:$C$14,MATCH(G24,Settings!$A$11:$A$14,0))</f>
        <v>46265</v>
      </c>
      <c r="I24" s="20"/>
      <c r="J24" s="20" t="s">
        <v>15</v>
      </c>
      <c r="K24" s="21"/>
      <c r="L24" s="21"/>
      <c r="M24" s="22"/>
      <c r="N24" s="22"/>
      <c r="O24" s="17" t="str">
        <f ca="1">IF(AND(J24&lt;&gt;"Done",J24&lt;&gt;"N/A",Settings!$B$5&gt;H24),"Overdue","")</f>
        <v>Overdue</v>
      </c>
      <c r="P24" s="17">
        <f ca="1">IF(O24="Overdue",Settings!$B$5-H24,"")</f>
        <v>30</v>
      </c>
    </row>
    <row r="25" spans="1:16">
      <c r="A25" s="17" t="s">
        <v>77</v>
      </c>
      <c r="B25" s="17">
        <v>4</v>
      </c>
      <c r="C25" s="17" t="s">
        <v>66</v>
      </c>
      <c r="D25" s="17" t="s">
        <v>67</v>
      </c>
      <c r="E25" s="18" t="s">
        <v>75</v>
      </c>
      <c r="F25" s="17" t="s">
        <v>29</v>
      </c>
      <c r="G25" s="17" t="s">
        <v>20</v>
      </c>
      <c r="H25" s="19">
        <f>INDEX(Settings!$C$11:$C$14,MATCH(G25,Settings!$A$11:$A$14,0))</f>
        <v>46265</v>
      </c>
      <c r="I25" s="20"/>
      <c r="J25" s="20" t="s">
        <v>15</v>
      </c>
      <c r="K25" s="21"/>
      <c r="L25" s="21"/>
      <c r="M25" s="22"/>
      <c r="N25" s="22"/>
      <c r="O25" s="17" t="str">
        <f ca="1">IF(AND(J25&lt;&gt;"Done",J25&lt;&gt;"N/A",Settings!$B$5&gt;H25),"Overdue","")</f>
        <v>Overdue</v>
      </c>
      <c r="P25" s="17">
        <f ca="1">IF(O25="Overdue",Settings!$B$5-H25,"")</f>
        <v>30</v>
      </c>
    </row>
    <row r="26" spans="1:16">
      <c r="A26" s="17" t="s">
        <v>78</v>
      </c>
      <c r="B26" s="17">
        <v>4</v>
      </c>
      <c r="C26" s="17" t="s">
        <v>66</v>
      </c>
      <c r="D26" s="17" t="s">
        <v>67</v>
      </c>
      <c r="E26" s="18" t="s">
        <v>75</v>
      </c>
      <c r="F26" s="17" t="s">
        <v>31</v>
      </c>
      <c r="G26" s="17" t="s">
        <v>20</v>
      </c>
      <c r="H26" s="19">
        <f>INDEX(Settings!$C$11:$C$14,MATCH(G26,Settings!$A$11:$A$14,0))</f>
        <v>46265</v>
      </c>
      <c r="I26" s="20"/>
      <c r="J26" s="20" t="s">
        <v>15</v>
      </c>
      <c r="K26" s="21"/>
      <c r="L26" s="21"/>
      <c r="M26" s="22"/>
      <c r="N26" s="22"/>
      <c r="O26" s="17" t="str">
        <f ca="1">IF(AND(J26&lt;&gt;"Done",J26&lt;&gt;"N/A",Settings!$B$5&gt;H26),"Overdue","")</f>
        <v>Overdue</v>
      </c>
      <c r="P26" s="17">
        <f ca="1">IF(O26="Overdue",Settings!$B$5-H26,"")</f>
        <v>30</v>
      </c>
    </row>
    <row r="27" spans="1:16">
      <c r="A27" s="17" t="s">
        <v>79</v>
      </c>
      <c r="B27" s="17">
        <v>5</v>
      </c>
      <c r="C27" s="17" t="s">
        <v>66</v>
      </c>
      <c r="D27" s="17" t="s">
        <v>67</v>
      </c>
      <c r="E27" s="18" t="s">
        <v>80</v>
      </c>
      <c r="F27" s="17" t="s">
        <v>26</v>
      </c>
      <c r="G27" s="17" t="s">
        <v>20</v>
      </c>
      <c r="H27" s="19">
        <f>INDEX(Settings!$C$11:$C$14,MATCH(G27,Settings!$A$11:$A$14,0))</f>
        <v>46265</v>
      </c>
      <c r="I27" s="20"/>
      <c r="J27" s="20" t="s">
        <v>15</v>
      </c>
      <c r="K27" s="21"/>
      <c r="L27" s="21"/>
      <c r="M27" s="22"/>
      <c r="N27" s="22"/>
      <c r="O27" s="17" t="str">
        <f ca="1">IF(AND(J27&lt;&gt;"Done",J27&lt;&gt;"N/A",Settings!$B$5&gt;H27),"Overdue","")</f>
        <v>Overdue</v>
      </c>
      <c r="P27" s="17">
        <f ca="1">IF(O27="Overdue",Settings!$B$5-H27,"")</f>
        <v>30</v>
      </c>
    </row>
    <row r="28" spans="1:16">
      <c r="A28" s="17" t="s">
        <v>81</v>
      </c>
      <c r="B28" s="17">
        <v>5</v>
      </c>
      <c r="C28" s="17" t="s">
        <v>66</v>
      </c>
      <c r="D28" s="17" t="s">
        <v>67</v>
      </c>
      <c r="E28" s="18" t="s">
        <v>80</v>
      </c>
      <c r="F28" s="17" t="s">
        <v>28</v>
      </c>
      <c r="G28" s="17" t="s">
        <v>20</v>
      </c>
      <c r="H28" s="19">
        <f>INDEX(Settings!$C$11:$C$14,MATCH(G28,Settings!$A$11:$A$14,0))</f>
        <v>46265</v>
      </c>
      <c r="I28" s="20"/>
      <c r="J28" s="20" t="s">
        <v>15</v>
      </c>
      <c r="K28" s="21"/>
      <c r="L28" s="21"/>
      <c r="M28" s="22"/>
      <c r="N28" s="22"/>
      <c r="O28" s="17" t="str">
        <f ca="1">IF(AND(J28&lt;&gt;"Done",J28&lt;&gt;"N/A",Settings!$B$5&gt;H28),"Overdue","")</f>
        <v>Overdue</v>
      </c>
      <c r="P28" s="17">
        <f ca="1">IF(O28="Overdue",Settings!$B$5-H28,"")</f>
        <v>30</v>
      </c>
    </row>
    <row r="29" spans="1:16">
      <c r="A29" s="17" t="s">
        <v>82</v>
      </c>
      <c r="B29" s="17">
        <v>5</v>
      </c>
      <c r="C29" s="17" t="s">
        <v>66</v>
      </c>
      <c r="D29" s="17" t="s">
        <v>67</v>
      </c>
      <c r="E29" s="18" t="s">
        <v>80</v>
      </c>
      <c r="F29" s="17" t="s">
        <v>29</v>
      </c>
      <c r="G29" s="17" t="s">
        <v>20</v>
      </c>
      <c r="H29" s="19">
        <f>INDEX(Settings!$C$11:$C$14,MATCH(G29,Settings!$A$11:$A$14,0))</f>
        <v>46265</v>
      </c>
      <c r="I29" s="20"/>
      <c r="J29" s="20" t="s">
        <v>15</v>
      </c>
      <c r="K29" s="21"/>
      <c r="L29" s="21"/>
      <c r="M29" s="22"/>
      <c r="N29" s="22"/>
      <c r="O29" s="17" t="str">
        <f ca="1">IF(AND(J29&lt;&gt;"Done",J29&lt;&gt;"N/A",Settings!$B$5&gt;H29),"Overdue","")</f>
        <v>Overdue</v>
      </c>
      <c r="P29" s="17">
        <f ca="1">IF(O29="Overdue",Settings!$B$5-H29,"")</f>
        <v>30</v>
      </c>
    </row>
    <row r="30" spans="1:16">
      <c r="A30" s="17" t="s">
        <v>83</v>
      </c>
      <c r="B30" s="17">
        <v>5</v>
      </c>
      <c r="C30" s="17" t="s">
        <v>66</v>
      </c>
      <c r="D30" s="17" t="s">
        <v>67</v>
      </c>
      <c r="E30" s="18" t="s">
        <v>80</v>
      </c>
      <c r="F30" s="17" t="s">
        <v>31</v>
      </c>
      <c r="G30" s="17" t="s">
        <v>20</v>
      </c>
      <c r="H30" s="19">
        <f>INDEX(Settings!$C$11:$C$14,MATCH(G30,Settings!$A$11:$A$14,0))</f>
        <v>46265</v>
      </c>
      <c r="I30" s="20"/>
      <c r="J30" s="20" t="s">
        <v>15</v>
      </c>
      <c r="K30" s="21"/>
      <c r="L30" s="21"/>
      <c r="M30" s="22"/>
      <c r="N30" s="22"/>
      <c r="O30" s="17" t="str">
        <f ca="1">IF(AND(J30&lt;&gt;"Done",J30&lt;&gt;"N/A",Settings!$B$5&gt;H30),"Overdue","")</f>
        <v>Overdue</v>
      </c>
      <c r="P30" s="17">
        <f ca="1">IF(O30="Overdue",Settings!$B$5-H30,"")</f>
        <v>30</v>
      </c>
    </row>
    <row r="31" spans="1:16">
      <c r="A31" s="17" t="s">
        <v>84</v>
      </c>
      <c r="B31" s="17">
        <v>6</v>
      </c>
      <c r="C31" s="17" t="s">
        <v>66</v>
      </c>
      <c r="D31" s="17" t="s">
        <v>67</v>
      </c>
      <c r="E31" s="18" t="s">
        <v>85</v>
      </c>
      <c r="F31" s="17" t="s">
        <v>26</v>
      </c>
      <c r="G31" s="17" t="s">
        <v>20</v>
      </c>
      <c r="H31" s="19">
        <f>INDEX(Settings!$C$11:$C$14,MATCH(G31,Settings!$A$11:$A$14,0))</f>
        <v>46265</v>
      </c>
      <c r="I31" s="20"/>
      <c r="J31" s="20" t="s">
        <v>15</v>
      </c>
      <c r="K31" s="21"/>
      <c r="L31" s="21"/>
      <c r="M31" s="22"/>
      <c r="N31" s="22"/>
      <c r="O31" s="17" t="str">
        <f ca="1">IF(AND(J31&lt;&gt;"Done",J31&lt;&gt;"N/A",Settings!$B$5&gt;H31),"Overdue","")</f>
        <v>Overdue</v>
      </c>
      <c r="P31" s="17">
        <f ca="1">IF(O31="Overdue",Settings!$B$5-H31,"")</f>
        <v>30</v>
      </c>
    </row>
    <row r="32" spans="1:16">
      <c r="A32" s="17" t="s">
        <v>86</v>
      </c>
      <c r="B32" s="17">
        <v>6</v>
      </c>
      <c r="C32" s="17" t="s">
        <v>66</v>
      </c>
      <c r="D32" s="17" t="s">
        <v>67</v>
      </c>
      <c r="E32" s="18" t="s">
        <v>85</v>
      </c>
      <c r="F32" s="17" t="s">
        <v>28</v>
      </c>
      <c r="G32" s="17" t="s">
        <v>20</v>
      </c>
      <c r="H32" s="19">
        <f>INDEX(Settings!$C$11:$C$14,MATCH(G32,Settings!$A$11:$A$14,0))</f>
        <v>46265</v>
      </c>
      <c r="I32" s="20"/>
      <c r="J32" s="20" t="s">
        <v>15</v>
      </c>
      <c r="K32" s="21"/>
      <c r="L32" s="21"/>
      <c r="M32" s="22"/>
      <c r="N32" s="22"/>
      <c r="O32" s="17" t="str">
        <f ca="1">IF(AND(J32&lt;&gt;"Done",J32&lt;&gt;"N/A",Settings!$B$5&gt;H32),"Overdue","")</f>
        <v>Overdue</v>
      </c>
      <c r="P32" s="17">
        <f ca="1">IF(O32="Overdue",Settings!$B$5-H32,"")</f>
        <v>30</v>
      </c>
    </row>
    <row r="33" spans="1:16">
      <c r="A33" s="17" t="s">
        <v>87</v>
      </c>
      <c r="B33" s="17">
        <v>6</v>
      </c>
      <c r="C33" s="17" t="s">
        <v>66</v>
      </c>
      <c r="D33" s="17" t="s">
        <v>67</v>
      </c>
      <c r="E33" s="18" t="s">
        <v>85</v>
      </c>
      <c r="F33" s="17" t="s">
        <v>29</v>
      </c>
      <c r="G33" s="17" t="s">
        <v>20</v>
      </c>
      <c r="H33" s="19">
        <f>INDEX(Settings!$C$11:$C$14,MATCH(G33,Settings!$A$11:$A$14,0))</f>
        <v>46265</v>
      </c>
      <c r="I33" s="20"/>
      <c r="J33" s="20" t="s">
        <v>15</v>
      </c>
      <c r="K33" s="21"/>
      <c r="L33" s="21"/>
      <c r="M33" s="22"/>
      <c r="N33" s="22"/>
      <c r="O33" s="17" t="str">
        <f ca="1">IF(AND(J33&lt;&gt;"Done",J33&lt;&gt;"N/A",Settings!$B$5&gt;H33),"Overdue","")</f>
        <v>Overdue</v>
      </c>
      <c r="P33" s="17">
        <f ca="1">IF(O33="Overdue",Settings!$B$5-H33,"")</f>
        <v>30</v>
      </c>
    </row>
    <row r="34" spans="1:16">
      <c r="A34" s="17" t="s">
        <v>88</v>
      </c>
      <c r="B34" s="17">
        <v>6</v>
      </c>
      <c r="C34" s="17" t="s">
        <v>66</v>
      </c>
      <c r="D34" s="17" t="s">
        <v>67</v>
      </c>
      <c r="E34" s="18" t="s">
        <v>85</v>
      </c>
      <c r="F34" s="17" t="s">
        <v>31</v>
      </c>
      <c r="G34" s="17" t="s">
        <v>20</v>
      </c>
      <c r="H34" s="19">
        <f>INDEX(Settings!$C$11:$C$14,MATCH(G34,Settings!$A$11:$A$14,0))</f>
        <v>46265</v>
      </c>
      <c r="I34" s="20"/>
      <c r="J34" s="20" t="s">
        <v>15</v>
      </c>
      <c r="K34" s="21"/>
      <c r="L34" s="21"/>
      <c r="M34" s="22"/>
      <c r="N34" s="22"/>
      <c r="O34" s="17" t="str">
        <f ca="1">IF(AND(J34&lt;&gt;"Done",J34&lt;&gt;"N/A",Settings!$B$5&gt;H34),"Overdue","")</f>
        <v>Overdue</v>
      </c>
      <c r="P34" s="17">
        <f ca="1">IF(O34="Overdue",Settings!$B$5-H34,"")</f>
        <v>30</v>
      </c>
    </row>
    <row r="35" spans="1:16">
      <c r="A35" s="17" t="s">
        <v>89</v>
      </c>
      <c r="B35" s="17">
        <v>7</v>
      </c>
      <c r="C35" s="17" t="s">
        <v>66</v>
      </c>
      <c r="D35" s="17" t="s">
        <v>67</v>
      </c>
      <c r="E35" s="18" t="s">
        <v>90</v>
      </c>
      <c r="F35" s="17" t="s">
        <v>26</v>
      </c>
      <c r="G35" s="17" t="s">
        <v>20</v>
      </c>
      <c r="H35" s="19">
        <f>INDEX(Settings!$C$11:$C$14,MATCH(G35,Settings!$A$11:$A$14,0))</f>
        <v>46265</v>
      </c>
      <c r="I35" s="20"/>
      <c r="J35" s="20" t="s">
        <v>15</v>
      </c>
      <c r="K35" s="21"/>
      <c r="L35" s="21"/>
      <c r="M35" s="22"/>
      <c r="N35" s="22"/>
      <c r="O35" s="17" t="str">
        <f ca="1">IF(AND(J35&lt;&gt;"Done",J35&lt;&gt;"N/A",Settings!$B$5&gt;H35),"Overdue","")</f>
        <v>Overdue</v>
      </c>
      <c r="P35" s="17">
        <f ca="1">IF(O35="Overdue",Settings!$B$5-H35,"")</f>
        <v>30</v>
      </c>
    </row>
    <row r="36" spans="1:16">
      <c r="A36" s="17" t="s">
        <v>91</v>
      </c>
      <c r="B36" s="17">
        <v>7</v>
      </c>
      <c r="C36" s="17" t="s">
        <v>66</v>
      </c>
      <c r="D36" s="17" t="s">
        <v>67</v>
      </c>
      <c r="E36" s="18" t="s">
        <v>90</v>
      </c>
      <c r="F36" s="17" t="s">
        <v>28</v>
      </c>
      <c r="G36" s="17" t="s">
        <v>20</v>
      </c>
      <c r="H36" s="19">
        <f>INDEX(Settings!$C$11:$C$14,MATCH(G36,Settings!$A$11:$A$14,0))</f>
        <v>46265</v>
      </c>
      <c r="I36" s="20"/>
      <c r="J36" s="20" t="s">
        <v>15</v>
      </c>
      <c r="K36" s="21"/>
      <c r="L36" s="21"/>
      <c r="M36" s="22"/>
      <c r="N36" s="22"/>
      <c r="O36" s="17" t="str">
        <f ca="1">IF(AND(J36&lt;&gt;"Done",J36&lt;&gt;"N/A",Settings!$B$5&gt;H36),"Overdue","")</f>
        <v>Overdue</v>
      </c>
      <c r="P36" s="17">
        <f ca="1">IF(O36="Overdue",Settings!$B$5-H36,"")</f>
        <v>30</v>
      </c>
    </row>
    <row r="37" spans="1:16">
      <c r="A37" s="17" t="s">
        <v>92</v>
      </c>
      <c r="B37" s="17">
        <v>7</v>
      </c>
      <c r="C37" s="17" t="s">
        <v>66</v>
      </c>
      <c r="D37" s="17" t="s">
        <v>67</v>
      </c>
      <c r="E37" s="18" t="s">
        <v>90</v>
      </c>
      <c r="F37" s="17" t="s">
        <v>31</v>
      </c>
      <c r="G37" s="17" t="s">
        <v>20</v>
      </c>
      <c r="H37" s="19">
        <f>INDEX(Settings!$C$11:$C$14,MATCH(G37,Settings!$A$11:$A$14,0))</f>
        <v>46265</v>
      </c>
      <c r="I37" s="20"/>
      <c r="J37" s="20" t="s">
        <v>15</v>
      </c>
      <c r="K37" s="21"/>
      <c r="L37" s="21"/>
      <c r="M37" s="22"/>
      <c r="N37" s="22"/>
      <c r="O37" s="17" t="str">
        <f ca="1">IF(AND(J37&lt;&gt;"Done",J37&lt;&gt;"N/A",Settings!$B$5&gt;H37),"Overdue","")</f>
        <v>Overdue</v>
      </c>
      <c r="P37" s="17">
        <f ca="1">IF(O37="Overdue",Settings!$B$5-H37,"")</f>
        <v>30</v>
      </c>
    </row>
    <row r="38" spans="1:16">
      <c r="A38" s="17" t="s">
        <v>93</v>
      </c>
      <c r="B38" s="17">
        <v>8</v>
      </c>
      <c r="C38" s="17" t="s">
        <v>66</v>
      </c>
      <c r="D38" s="17" t="s">
        <v>67</v>
      </c>
      <c r="E38" s="18" t="s">
        <v>94</v>
      </c>
      <c r="F38" s="17" t="s">
        <v>26</v>
      </c>
      <c r="G38" s="17" t="s">
        <v>20</v>
      </c>
      <c r="H38" s="19">
        <f>INDEX(Settings!$C$11:$C$14,MATCH(G38,Settings!$A$11:$A$14,0))</f>
        <v>46265</v>
      </c>
      <c r="I38" s="20"/>
      <c r="J38" s="20" t="s">
        <v>15</v>
      </c>
      <c r="K38" s="21"/>
      <c r="L38" s="21"/>
      <c r="M38" s="22"/>
      <c r="N38" s="22"/>
      <c r="O38" s="17" t="str">
        <f ca="1">IF(AND(J38&lt;&gt;"Done",J38&lt;&gt;"N/A",Settings!$B$5&gt;H38),"Overdue","")</f>
        <v>Overdue</v>
      </c>
      <c r="P38" s="17">
        <f ca="1">IF(O38="Overdue",Settings!$B$5-H38,"")</f>
        <v>30</v>
      </c>
    </row>
    <row r="39" spans="1:16">
      <c r="A39" s="17" t="s">
        <v>95</v>
      </c>
      <c r="B39" s="17">
        <v>8</v>
      </c>
      <c r="C39" s="17" t="s">
        <v>66</v>
      </c>
      <c r="D39" s="17" t="s">
        <v>67</v>
      </c>
      <c r="E39" s="18" t="s">
        <v>94</v>
      </c>
      <c r="F39" s="17" t="s">
        <v>28</v>
      </c>
      <c r="G39" s="17" t="s">
        <v>20</v>
      </c>
      <c r="H39" s="19">
        <f>INDEX(Settings!$C$11:$C$14,MATCH(G39,Settings!$A$11:$A$14,0))</f>
        <v>46265</v>
      </c>
      <c r="I39" s="20"/>
      <c r="J39" s="20" t="s">
        <v>15</v>
      </c>
      <c r="K39" s="21"/>
      <c r="L39" s="21"/>
      <c r="M39" s="22"/>
      <c r="N39" s="22"/>
      <c r="O39" s="17" t="str">
        <f ca="1">IF(AND(J39&lt;&gt;"Done",J39&lt;&gt;"N/A",Settings!$B$5&gt;H39),"Overdue","")</f>
        <v>Overdue</v>
      </c>
      <c r="P39" s="17">
        <f ca="1">IF(O39="Overdue",Settings!$B$5-H39,"")</f>
        <v>30</v>
      </c>
    </row>
    <row r="40" spans="1:16">
      <c r="A40" s="17" t="s">
        <v>96</v>
      </c>
      <c r="B40" s="17">
        <v>8</v>
      </c>
      <c r="C40" s="17" t="s">
        <v>66</v>
      </c>
      <c r="D40" s="17" t="s">
        <v>67</v>
      </c>
      <c r="E40" s="18" t="s">
        <v>94</v>
      </c>
      <c r="F40" s="17" t="s">
        <v>29</v>
      </c>
      <c r="G40" s="17" t="s">
        <v>20</v>
      </c>
      <c r="H40" s="19">
        <f>INDEX(Settings!$C$11:$C$14,MATCH(G40,Settings!$A$11:$A$14,0))</f>
        <v>46265</v>
      </c>
      <c r="I40" s="20"/>
      <c r="J40" s="20" t="s">
        <v>15</v>
      </c>
      <c r="K40" s="21"/>
      <c r="L40" s="21"/>
      <c r="M40" s="22"/>
      <c r="N40" s="22"/>
      <c r="O40" s="17" t="str">
        <f ca="1">IF(AND(J40&lt;&gt;"Done",J40&lt;&gt;"N/A",Settings!$B$5&gt;H40),"Overdue","")</f>
        <v>Overdue</v>
      </c>
      <c r="P40" s="17">
        <f ca="1">IF(O40="Overdue",Settings!$B$5-H40,"")</f>
        <v>30</v>
      </c>
    </row>
    <row r="41" spans="1:16">
      <c r="A41" s="17" t="s">
        <v>97</v>
      </c>
      <c r="B41" s="17">
        <v>8</v>
      </c>
      <c r="C41" s="17" t="s">
        <v>66</v>
      </c>
      <c r="D41" s="17" t="s">
        <v>67</v>
      </c>
      <c r="E41" s="18" t="s">
        <v>94</v>
      </c>
      <c r="F41" s="17" t="s">
        <v>31</v>
      </c>
      <c r="G41" s="17" t="s">
        <v>20</v>
      </c>
      <c r="H41" s="19">
        <f>INDEX(Settings!$C$11:$C$14,MATCH(G41,Settings!$A$11:$A$14,0))</f>
        <v>46265</v>
      </c>
      <c r="I41" s="20"/>
      <c r="J41" s="20" t="s">
        <v>15</v>
      </c>
      <c r="K41" s="21"/>
      <c r="L41" s="21"/>
      <c r="M41" s="22"/>
      <c r="N41" s="22"/>
      <c r="O41" s="17" t="str">
        <f ca="1">IF(AND(J41&lt;&gt;"Done",J41&lt;&gt;"N/A",Settings!$B$5&gt;H41),"Overdue","")</f>
        <v>Overdue</v>
      </c>
      <c r="P41" s="17">
        <f ca="1">IF(O41="Overdue",Settings!$B$5-H41,"")</f>
        <v>30</v>
      </c>
    </row>
    <row r="42" spans="1:16">
      <c r="A42" s="17" t="s">
        <v>98</v>
      </c>
      <c r="B42" s="17">
        <v>9</v>
      </c>
      <c r="C42" s="17" t="s">
        <v>66</v>
      </c>
      <c r="D42" s="17" t="s">
        <v>67</v>
      </c>
      <c r="E42" s="18" t="s">
        <v>99</v>
      </c>
      <c r="F42" s="17" t="s">
        <v>26</v>
      </c>
      <c r="G42" s="17" t="s">
        <v>20</v>
      </c>
      <c r="H42" s="19">
        <f>INDEX(Settings!$C$11:$C$14,MATCH(G42,Settings!$A$11:$A$14,0))</f>
        <v>46265</v>
      </c>
      <c r="I42" s="20"/>
      <c r="J42" s="20" t="s">
        <v>15</v>
      </c>
      <c r="K42" s="21"/>
      <c r="L42" s="21"/>
      <c r="M42" s="22"/>
      <c r="N42" s="22"/>
      <c r="O42" s="17" t="str">
        <f ca="1">IF(AND(J42&lt;&gt;"Done",J42&lt;&gt;"N/A",Settings!$B$5&gt;H42),"Overdue","")</f>
        <v>Overdue</v>
      </c>
      <c r="P42" s="17">
        <f ca="1">IF(O42="Overdue",Settings!$B$5-H42,"")</f>
        <v>30</v>
      </c>
    </row>
    <row r="43" spans="1:16">
      <c r="A43" s="17" t="s">
        <v>100</v>
      </c>
      <c r="B43" s="17">
        <v>9</v>
      </c>
      <c r="C43" s="17" t="s">
        <v>66</v>
      </c>
      <c r="D43" s="17" t="s">
        <v>67</v>
      </c>
      <c r="E43" s="18" t="s">
        <v>99</v>
      </c>
      <c r="F43" s="17" t="s">
        <v>28</v>
      </c>
      <c r="G43" s="17" t="s">
        <v>20</v>
      </c>
      <c r="H43" s="19">
        <f>INDEX(Settings!$C$11:$C$14,MATCH(G43,Settings!$A$11:$A$14,0))</f>
        <v>46265</v>
      </c>
      <c r="I43" s="20"/>
      <c r="J43" s="20" t="s">
        <v>15</v>
      </c>
      <c r="K43" s="21"/>
      <c r="L43" s="21"/>
      <c r="M43" s="22"/>
      <c r="N43" s="22"/>
      <c r="O43" s="17" t="str">
        <f ca="1">IF(AND(J43&lt;&gt;"Done",J43&lt;&gt;"N/A",Settings!$B$5&gt;H43),"Overdue","")</f>
        <v>Overdue</v>
      </c>
      <c r="P43" s="17">
        <f ca="1">IF(O43="Overdue",Settings!$B$5-H43,"")</f>
        <v>30</v>
      </c>
    </row>
    <row r="44" spans="1:16">
      <c r="A44" s="17" t="s">
        <v>101</v>
      </c>
      <c r="B44" s="17">
        <v>9</v>
      </c>
      <c r="C44" s="17" t="s">
        <v>66</v>
      </c>
      <c r="D44" s="17" t="s">
        <v>67</v>
      </c>
      <c r="E44" s="18" t="s">
        <v>99</v>
      </c>
      <c r="F44" s="17" t="s">
        <v>29</v>
      </c>
      <c r="G44" s="17" t="s">
        <v>20</v>
      </c>
      <c r="H44" s="19">
        <f>INDEX(Settings!$C$11:$C$14,MATCH(G44,Settings!$A$11:$A$14,0))</f>
        <v>46265</v>
      </c>
      <c r="I44" s="20"/>
      <c r="J44" s="20" t="s">
        <v>15</v>
      </c>
      <c r="K44" s="21"/>
      <c r="L44" s="21"/>
      <c r="M44" s="22"/>
      <c r="N44" s="22"/>
      <c r="O44" s="17" t="str">
        <f ca="1">IF(AND(J44&lt;&gt;"Done",J44&lt;&gt;"N/A",Settings!$B$5&gt;H44),"Overdue","")</f>
        <v>Overdue</v>
      </c>
      <c r="P44" s="17">
        <f ca="1">IF(O44="Overdue",Settings!$B$5-H44,"")</f>
        <v>30</v>
      </c>
    </row>
    <row r="45" spans="1:16">
      <c r="A45" s="17" t="s">
        <v>102</v>
      </c>
      <c r="B45" s="17">
        <v>9</v>
      </c>
      <c r="C45" s="17" t="s">
        <v>66</v>
      </c>
      <c r="D45" s="17" t="s">
        <v>67</v>
      </c>
      <c r="E45" s="18" t="s">
        <v>99</v>
      </c>
      <c r="F45" s="17" t="s">
        <v>31</v>
      </c>
      <c r="G45" s="17" t="s">
        <v>20</v>
      </c>
      <c r="H45" s="19">
        <f>INDEX(Settings!$C$11:$C$14,MATCH(G45,Settings!$A$11:$A$14,0))</f>
        <v>46265</v>
      </c>
      <c r="I45" s="20"/>
      <c r="J45" s="20" t="s">
        <v>15</v>
      </c>
      <c r="K45" s="21"/>
      <c r="L45" s="21"/>
      <c r="M45" s="22"/>
      <c r="N45" s="22"/>
      <c r="O45" s="17" t="str">
        <f ca="1">IF(AND(J45&lt;&gt;"Done",J45&lt;&gt;"N/A",Settings!$B$5&gt;H45),"Overdue","")</f>
        <v>Overdue</v>
      </c>
      <c r="P45" s="17">
        <f ca="1">IF(O45="Overdue",Settings!$B$5-H45,"")</f>
        <v>30</v>
      </c>
    </row>
    <row r="46" spans="1:16">
      <c r="A46" s="17" t="s">
        <v>103</v>
      </c>
      <c r="B46" s="17">
        <v>9</v>
      </c>
      <c r="C46" s="17" t="s">
        <v>66</v>
      </c>
      <c r="D46" s="17" t="s">
        <v>67</v>
      </c>
      <c r="E46" s="18" t="s">
        <v>99</v>
      </c>
      <c r="F46" s="17" t="s">
        <v>234</v>
      </c>
      <c r="G46" s="17" t="s">
        <v>20</v>
      </c>
      <c r="H46" s="19">
        <f>INDEX(Settings!$C$11:$C$14,MATCH(G46,Settings!$A$11:$A$14,0))</f>
        <v>46265</v>
      </c>
      <c r="I46" s="20"/>
      <c r="J46" s="20" t="s">
        <v>15</v>
      </c>
      <c r="K46" s="21"/>
      <c r="L46" s="21"/>
      <c r="M46" s="22"/>
      <c r="N46" s="22"/>
      <c r="O46" s="17" t="str">
        <f ca="1">IF(AND(J46&lt;&gt;"Done",J46&lt;&gt;"N/A",Settings!$B$5&gt;H46),"Overdue","")</f>
        <v>Overdue</v>
      </c>
      <c r="P46" s="17">
        <f ca="1">IF(O46="Overdue",Settings!$B$5-H46,"")</f>
        <v>30</v>
      </c>
    </row>
    <row r="47" spans="1:16">
      <c r="A47" s="17" t="s">
        <v>104</v>
      </c>
      <c r="B47" s="17">
        <v>10</v>
      </c>
      <c r="C47" s="17" t="s">
        <v>66</v>
      </c>
      <c r="D47" s="17" t="s">
        <v>67</v>
      </c>
      <c r="E47" s="18" t="s">
        <v>105</v>
      </c>
      <c r="F47" s="17" t="s">
        <v>26</v>
      </c>
      <c r="G47" s="17" t="s">
        <v>20</v>
      </c>
      <c r="H47" s="19">
        <f>INDEX(Settings!$C$11:$C$14,MATCH(G47,Settings!$A$11:$A$14,0))</f>
        <v>46265</v>
      </c>
      <c r="I47" s="20"/>
      <c r="J47" s="20" t="s">
        <v>15</v>
      </c>
      <c r="K47" s="21"/>
      <c r="L47" s="21"/>
      <c r="M47" s="22"/>
      <c r="N47" s="22"/>
      <c r="O47" s="17" t="str">
        <f ca="1">IF(AND(J47&lt;&gt;"Done",J47&lt;&gt;"N/A",Settings!$B$5&gt;H47),"Overdue","")</f>
        <v>Overdue</v>
      </c>
      <c r="P47" s="17">
        <f ca="1">IF(O47="Overdue",Settings!$B$5-H47,"")</f>
        <v>30</v>
      </c>
    </row>
    <row r="48" spans="1:16">
      <c r="A48" s="17" t="s">
        <v>106</v>
      </c>
      <c r="B48" s="17">
        <v>10</v>
      </c>
      <c r="C48" s="17" t="s">
        <v>66</v>
      </c>
      <c r="D48" s="17" t="s">
        <v>67</v>
      </c>
      <c r="E48" s="18" t="s">
        <v>105</v>
      </c>
      <c r="F48" s="17" t="s">
        <v>28</v>
      </c>
      <c r="G48" s="17" t="s">
        <v>20</v>
      </c>
      <c r="H48" s="19">
        <f>INDEX(Settings!$C$11:$C$14,MATCH(G48,Settings!$A$11:$A$14,0))</f>
        <v>46265</v>
      </c>
      <c r="I48" s="20"/>
      <c r="J48" s="20" t="s">
        <v>15</v>
      </c>
      <c r="K48" s="21"/>
      <c r="L48" s="21"/>
      <c r="M48" s="22"/>
      <c r="N48" s="22"/>
      <c r="O48" s="17" t="str">
        <f ca="1">IF(AND(J48&lt;&gt;"Done",J48&lt;&gt;"N/A",Settings!$B$5&gt;H48),"Overdue","")</f>
        <v>Overdue</v>
      </c>
      <c r="P48" s="17">
        <f ca="1">IF(O48="Overdue",Settings!$B$5-H48,"")</f>
        <v>30</v>
      </c>
    </row>
    <row r="49" spans="1:16">
      <c r="A49" s="17" t="s">
        <v>107</v>
      </c>
      <c r="B49" s="17">
        <v>10</v>
      </c>
      <c r="C49" s="17" t="s">
        <v>66</v>
      </c>
      <c r="D49" s="17" t="s">
        <v>67</v>
      </c>
      <c r="E49" s="18" t="s">
        <v>105</v>
      </c>
      <c r="F49" s="17" t="s">
        <v>31</v>
      </c>
      <c r="G49" s="17" t="s">
        <v>20</v>
      </c>
      <c r="H49" s="19">
        <f>INDEX(Settings!$C$11:$C$14,MATCH(G49,Settings!$A$11:$A$14,0))</f>
        <v>46265</v>
      </c>
      <c r="I49" s="20"/>
      <c r="J49" s="20" t="s">
        <v>15</v>
      </c>
      <c r="K49" s="21"/>
      <c r="L49" s="21"/>
      <c r="M49" s="22"/>
      <c r="N49" s="22"/>
      <c r="O49" s="17" t="str">
        <f ca="1">IF(AND(J49&lt;&gt;"Done",J49&lt;&gt;"N/A",Settings!$B$5&gt;H49),"Overdue","")</f>
        <v>Overdue</v>
      </c>
      <c r="P49" s="17">
        <f ca="1">IF(O49="Overdue",Settings!$B$5-H49,"")</f>
        <v>30</v>
      </c>
    </row>
    <row r="50" spans="1:16">
      <c r="A50" s="17" t="s">
        <v>108</v>
      </c>
      <c r="B50" s="17">
        <v>11</v>
      </c>
      <c r="C50" s="17" t="s">
        <v>66</v>
      </c>
      <c r="D50" s="17" t="s">
        <v>67</v>
      </c>
      <c r="E50" s="18" t="s">
        <v>109</v>
      </c>
      <c r="F50" s="17" t="s">
        <v>26</v>
      </c>
      <c r="G50" s="17" t="s">
        <v>20</v>
      </c>
      <c r="H50" s="19">
        <f>INDEX(Settings!$C$11:$C$14,MATCH(G50,Settings!$A$11:$A$14,0))</f>
        <v>46265</v>
      </c>
      <c r="I50" s="20"/>
      <c r="J50" s="20" t="s">
        <v>15</v>
      </c>
      <c r="K50" s="21"/>
      <c r="L50" s="21"/>
      <c r="M50" s="22"/>
      <c r="N50" s="22"/>
      <c r="O50" s="17" t="str">
        <f ca="1">IF(AND(J50&lt;&gt;"Done",J50&lt;&gt;"N/A",Settings!$B$5&gt;H50),"Overdue","")</f>
        <v>Overdue</v>
      </c>
      <c r="P50" s="17">
        <f ca="1">IF(O50="Overdue",Settings!$B$5-H50,"")</f>
        <v>30</v>
      </c>
    </row>
    <row r="51" spans="1:16">
      <c r="A51" s="17" t="s">
        <v>110</v>
      </c>
      <c r="B51" s="17">
        <v>11</v>
      </c>
      <c r="C51" s="17" t="s">
        <v>66</v>
      </c>
      <c r="D51" s="17" t="s">
        <v>67</v>
      </c>
      <c r="E51" s="18" t="s">
        <v>109</v>
      </c>
      <c r="F51" s="17" t="s">
        <v>28</v>
      </c>
      <c r="G51" s="17" t="s">
        <v>20</v>
      </c>
      <c r="H51" s="19">
        <f>INDEX(Settings!$C$11:$C$14,MATCH(G51,Settings!$A$11:$A$14,0))</f>
        <v>46265</v>
      </c>
      <c r="I51" s="20"/>
      <c r="J51" s="20" t="s">
        <v>15</v>
      </c>
      <c r="K51" s="21"/>
      <c r="L51" s="21"/>
      <c r="M51" s="22"/>
      <c r="N51" s="22"/>
      <c r="O51" s="17" t="str">
        <f ca="1">IF(AND(J51&lt;&gt;"Done",J51&lt;&gt;"N/A",Settings!$B$5&gt;H51),"Overdue","")</f>
        <v>Overdue</v>
      </c>
      <c r="P51" s="17">
        <f ca="1">IF(O51="Overdue",Settings!$B$5-H51,"")</f>
        <v>30</v>
      </c>
    </row>
    <row r="52" spans="1:16">
      <c r="A52" s="17" t="s">
        <v>111</v>
      </c>
      <c r="B52" s="17">
        <v>11</v>
      </c>
      <c r="C52" s="17" t="s">
        <v>66</v>
      </c>
      <c r="D52" s="17" t="s">
        <v>67</v>
      </c>
      <c r="E52" s="18" t="s">
        <v>109</v>
      </c>
      <c r="F52" s="17" t="s">
        <v>31</v>
      </c>
      <c r="G52" s="17" t="s">
        <v>20</v>
      </c>
      <c r="H52" s="19">
        <f>INDEX(Settings!$C$11:$C$14,MATCH(G52,Settings!$A$11:$A$14,0))</f>
        <v>46265</v>
      </c>
      <c r="I52" s="20"/>
      <c r="J52" s="20" t="s">
        <v>15</v>
      </c>
      <c r="K52" s="21"/>
      <c r="L52" s="21"/>
      <c r="M52" s="22"/>
      <c r="N52" s="22"/>
      <c r="O52" s="17" t="str">
        <f ca="1">IF(AND(J52&lt;&gt;"Done",J52&lt;&gt;"N/A",Settings!$B$5&gt;H52),"Overdue","")</f>
        <v>Overdue</v>
      </c>
      <c r="P52" s="17">
        <f ca="1">IF(O52="Overdue",Settings!$B$5-H52,"")</f>
        <v>30</v>
      </c>
    </row>
    <row r="53" spans="1:16">
      <c r="A53" s="17" t="s">
        <v>112</v>
      </c>
      <c r="B53" s="17">
        <v>12</v>
      </c>
      <c r="C53" s="17" t="s">
        <v>66</v>
      </c>
      <c r="D53" s="17" t="s">
        <v>67</v>
      </c>
      <c r="E53" s="18" t="s">
        <v>113</v>
      </c>
      <c r="F53" s="17" t="s">
        <v>234</v>
      </c>
      <c r="G53" s="17" t="s">
        <v>20</v>
      </c>
      <c r="H53" s="19">
        <f>INDEX(Settings!$C$11:$C$14,MATCH(G53,Settings!$A$11:$A$14,0))</f>
        <v>46265</v>
      </c>
      <c r="I53" s="20"/>
      <c r="J53" s="20" t="s">
        <v>15</v>
      </c>
      <c r="K53" s="21"/>
      <c r="L53" s="21"/>
      <c r="M53" s="22"/>
      <c r="N53" s="22"/>
      <c r="O53" s="17" t="str">
        <f ca="1">IF(AND(J53&lt;&gt;"Done",J53&lt;&gt;"N/A",Settings!$B$5&gt;H53),"Overdue","")</f>
        <v>Overdue</v>
      </c>
      <c r="P53" s="17">
        <f ca="1">IF(O53="Overdue",Settings!$B$5-H53,"")</f>
        <v>30</v>
      </c>
    </row>
    <row r="54" spans="1:16">
      <c r="A54" s="17" t="s">
        <v>114</v>
      </c>
      <c r="B54" s="17">
        <v>13</v>
      </c>
      <c r="C54" s="17" t="s">
        <v>115</v>
      </c>
      <c r="D54" s="17" t="s">
        <v>116</v>
      </c>
      <c r="E54" s="18" t="s">
        <v>75</v>
      </c>
      <c r="F54" s="17" t="s">
        <v>26</v>
      </c>
      <c r="G54" s="17" t="s">
        <v>21</v>
      </c>
      <c r="H54" s="19">
        <f>INDEX(Settings!$C$11:$C$14,MATCH(G54,Settings!$A$11:$A$14,0))</f>
        <v>46295</v>
      </c>
      <c r="I54" s="20"/>
      <c r="J54" s="20" t="s">
        <v>15</v>
      </c>
      <c r="K54" s="21"/>
      <c r="L54" s="21"/>
      <c r="M54" s="22"/>
      <c r="N54" s="22"/>
      <c r="O54" s="17" t="str">
        <f ca="1">IF(AND(J54&lt;&gt;"Done",J54&lt;&gt;"N/A",Settings!$B$5&gt;H54),"Overdue","")</f>
        <v/>
      </c>
      <c r="P54" s="17" t="str">
        <f ca="1">IF(O54="Overdue",Settings!$B$5-H54,"")</f>
        <v/>
      </c>
    </row>
    <row r="55" spans="1:16">
      <c r="A55" s="17" t="s">
        <v>117</v>
      </c>
      <c r="B55" s="17">
        <v>14</v>
      </c>
      <c r="C55" s="17" t="s">
        <v>115</v>
      </c>
      <c r="D55" s="17" t="s">
        <v>116</v>
      </c>
      <c r="E55" s="18" t="s">
        <v>80</v>
      </c>
      <c r="F55" s="17" t="s">
        <v>26</v>
      </c>
      <c r="G55" s="17" t="s">
        <v>21</v>
      </c>
      <c r="H55" s="19">
        <f>INDEX(Settings!$C$11:$C$14,MATCH(G55,Settings!$A$11:$A$14,0))</f>
        <v>46295</v>
      </c>
      <c r="I55" s="20"/>
      <c r="J55" s="20" t="s">
        <v>15</v>
      </c>
      <c r="K55" s="21"/>
      <c r="L55" s="21"/>
      <c r="M55" s="22"/>
      <c r="N55" s="22"/>
      <c r="O55" s="17" t="str">
        <f ca="1">IF(AND(J55&lt;&gt;"Done",J55&lt;&gt;"N/A",Settings!$B$5&gt;H55),"Overdue","")</f>
        <v/>
      </c>
      <c r="P55" s="17" t="str">
        <f ca="1">IF(O55="Overdue",Settings!$B$5-H55,"")</f>
        <v/>
      </c>
    </row>
    <row r="56" spans="1:16">
      <c r="A56" s="17" t="s">
        <v>118</v>
      </c>
      <c r="B56" s="17">
        <v>15</v>
      </c>
      <c r="C56" s="17" t="s">
        <v>115</v>
      </c>
      <c r="D56" s="17" t="s">
        <v>116</v>
      </c>
      <c r="E56" s="18" t="s">
        <v>85</v>
      </c>
      <c r="F56" s="17" t="s">
        <v>26</v>
      </c>
      <c r="G56" s="17" t="s">
        <v>21</v>
      </c>
      <c r="H56" s="19">
        <f>INDEX(Settings!$C$11:$C$14,MATCH(G56,Settings!$A$11:$A$14,0))</f>
        <v>46295</v>
      </c>
      <c r="I56" s="20"/>
      <c r="J56" s="20" t="s">
        <v>15</v>
      </c>
      <c r="K56" s="21"/>
      <c r="L56" s="21"/>
      <c r="M56" s="22"/>
      <c r="N56" s="22"/>
      <c r="O56" s="17" t="str">
        <f ca="1">IF(AND(J56&lt;&gt;"Done",J56&lt;&gt;"N/A",Settings!$B$5&gt;H56),"Overdue","")</f>
        <v/>
      </c>
      <c r="P56" s="17" t="str">
        <f ca="1">IF(O56="Overdue",Settings!$B$5-H56,"")</f>
        <v/>
      </c>
    </row>
    <row r="57" spans="1:16">
      <c r="A57" s="17" t="s">
        <v>119</v>
      </c>
      <c r="B57" s="17">
        <v>16</v>
      </c>
      <c r="C57" s="17" t="s">
        <v>115</v>
      </c>
      <c r="D57" s="17" t="s">
        <v>116</v>
      </c>
      <c r="E57" s="18" t="s">
        <v>90</v>
      </c>
      <c r="F57" s="17" t="s">
        <v>26</v>
      </c>
      <c r="G57" s="17" t="s">
        <v>21</v>
      </c>
      <c r="H57" s="19">
        <f>INDEX(Settings!$C$11:$C$14,MATCH(G57,Settings!$A$11:$A$14,0))</f>
        <v>46295</v>
      </c>
      <c r="I57" s="20"/>
      <c r="J57" s="20" t="s">
        <v>15</v>
      </c>
      <c r="K57" s="21"/>
      <c r="L57" s="21"/>
      <c r="M57" s="22"/>
      <c r="N57" s="22"/>
      <c r="O57" s="17" t="str">
        <f ca="1">IF(AND(J57&lt;&gt;"Done",J57&lt;&gt;"N/A",Settings!$B$5&gt;H57),"Overdue","")</f>
        <v/>
      </c>
      <c r="P57" s="17" t="str">
        <f ca="1">IF(O57="Overdue",Settings!$B$5-H57,"")</f>
        <v/>
      </c>
    </row>
    <row r="58" spans="1:16">
      <c r="A58" s="17" t="s">
        <v>120</v>
      </c>
      <c r="B58" s="17">
        <v>17</v>
      </c>
      <c r="C58" s="17" t="s">
        <v>115</v>
      </c>
      <c r="D58" s="17" t="s">
        <v>116</v>
      </c>
      <c r="E58" s="18" t="s">
        <v>94</v>
      </c>
      <c r="F58" s="17" t="s">
        <v>26</v>
      </c>
      <c r="G58" s="17" t="s">
        <v>21</v>
      </c>
      <c r="H58" s="19">
        <f>INDEX(Settings!$C$11:$C$14,MATCH(G58,Settings!$A$11:$A$14,0))</f>
        <v>46295</v>
      </c>
      <c r="I58" s="20"/>
      <c r="J58" s="20" t="s">
        <v>15</v>
      </c>
      <c r="K58" s="21"/>
      <c r="L58" s="21"/>
      <c r="M58" s="22"/>
      <c r="N58" s="22"/>
      <c r="O58" s="17" t="str">
        <f ca="1">IF(AND(J58&lt;&gt;"Done",J58&lt;&gt;"N/A",Settings!$B$5&gt;H58),"Overdue","")</f>
        <v/>
      </c>
      <c r="P58" s="17" t="str">
        <f ca="1">IF(O58="Overdue",Settings!$B$5-H58,"")</f>
        <v/>
      </c>
    </row>
    <row r="59" spans="1:16">
      <c r="A59" s="17" t="s">
        <v>121</v>
      </c>
      <c r="B59" s="17">
        <v>18</v>
      </c>
      <c r="C59" s="17" t="s">
        <v>115</v>
      </c>
      <c r="D59" s="17" t="s">
        <v>116</v>
      </c>
      <c r="E59" s="18" t="s">
        <v>99</v>
      </c>
      <c r="F59" s="17" t="s">
        <v>26</v>
      </c>
      <c r="G59" s="17" t="s">
        <v>21</v>
      </c>
      <c r="H59" s="19">
        <f>INDEX(Settings!$C$11:$C$14,MATCH(G59,Settings!$A$11:$A$14,0))</f>
        <v>46295</v>
      </c>
      <c r="I59" s="20"/>
      <c r="J59" s="20" t="s">
        <v>15</v>
      </c>
      <c r="K59" s="21"/>
      <c r="L59" s="21"/>
      <c r="M59" s="22"/>
      <c r="N59" s="22"/>
      <c r="O59" s="17" t="str">
        <f ca="1">IF(AND(J59&lt;&gt;"Done",J59&lt;&gt;"N/A",Settings!$B$5&gt;H59),"Overdue","")</f>
        <v/>
      </c>
      <c r="P59" s="17" t="str">
        <f ca="1">IF(O59="Overdue",Settings!$B$5-H59,"")</f>
        <v/>
      </c>
    </row>
    <row r="60" spans="1:16">
      <c r="A60" s="17" t="s">
        <v>122</v>
      </c>
      <c r="B60" s="17">
        <v>19</v>
      </c>
      <c r="C60" s="17" t="s">
        <v>115</v>
      </c>
      <c r="D60" s="17" t="s">
        <v>116</v>
      </c>
      <c r="E60" s="18" t="s">
        <v>105</v>
      </c>
      <c r="F60" s="17" t="s">
        <v>26</v>
      </c>
      <c r="G60" s="17" t="s">
        <v>21</v>
      </c>
      <c r="H60" s="19">
        <f>INDEX(Settings!$C$11:$C$14,MATCH(G60,Settings!$A$11:$A$14,0))</f>
        <v>46295</v>
      </c>
      <c r="I60" s="20"/>
      <c r="J60" s="20" t="s">
        <v>15</v>
      </c>
      <c r="K60" s="21"/>
      <c r="L60" s="21"/>
      <c r="M60" s="22"/>
      <c r="N60" s="22"/>
      <c r="O60" s="17" t="str">
        <f ca="1">IF(AND(J60&lt;&gt;"Done",J60&lt;&gt;"N/A",Settings!$B$5&gt;H60),"Overdue","")</f>
        <v/>
      </c>
      <c r="P60" s="17" t="str">
        <f ca="1">IF(O60="Overdue",Settings!$B$5-H60,"")</f>
        <v/>
      </c>
    </row>
    <row r="61" spans="1:16">
      <c r="A61" s="17" t="s">
        <v>123</v>
      </c>
      <c r="B61" s="17">
        <v>20</v>
      </c>
      <c r="C61" s="17" t="s">
        <v>115</v>
      </c>
      <c r="D61" s="17" t="s">
        <v>116</v>
      </c>
      <c r="E61" s="18" t="s">
        <v>109</v>
      </c>
      <c r="F61" s="17" t="s">
        <v>26</v>
      </c>
      <c r="G61" s="17" t="s">
        <v>21</v>
      </c>
      <c r="H61" s="19">
        <f>INDEX(Settings!$C$11:$C$14,MATCH(G61,Settings!$A$11:$A$14,0))</f>
        <v>46295</v>
      </c>
      <c r="I61" s="20"/>
      <c r="J61" s="20" t="s">
        <v>15</v>
      </c>
      <c r="K61" s="21"/>
      <c r="L61" s="21"/>
      <c r="M61" s="22"/>
      <c r="N61" s="22"/>
      <c r="O61" s="17" t="str">
        <f ca="1">IF(AND(J61&lt;&gt;"Done",J61&lt;&gt;"N/A",Settings!$B$5&gt;H61),"Overdue","")</f>
        <v/>
      </c>
      <c r="P61" s="17" t="str">
        <f ca="1">IF(O61="Overdue",Settings!$B$5-H61,"")</f>
        <v/>
      </c>
    </row>
    <row r="62" spans="1:16">
      <c r="A62" s="17" t="s">
        <v>124</v>
      </c>
      <c r="B62" s="17">
        <v>21</v>
      </c>
      <c r="C62" s="17" t="s">
        <v>125</v>
      </c>
      <c r="D62" s="17" t="s">
        <v>67</v>
      </c>
      <c r="E62" s="18" t="s">
        <v>126</v>
      </c>
      <c r="F62" s="17" t="s">
        <v>26</v>
      </c>
      <c r="G62" s="17" t="s">
        <v>22</v>
      </c>
      <c r="H62" s="19">
        <f>INDEX(Settings!$C$11:$C$14,MATCH(G62,Settings!$A$11:$A$14,0))</f>
        <v>46325</v>
      </c>
      <c r="I62" s="20"/>
      <c r="J62" s="20" t="s">
        <v>15</v>
      </c>
      <c r="K62" s="21"/>
      <c r="L62" s="21"/>
      <c r="M62" s="22"/>
      <c r="N62" s="22"/>
      <c r="O62" s="17" t="str">
        <f ca="1">IF(AND(J62&lt;&gt;"Done",J62&lt;&gt;"N/A",Settings!$B$5&gt;H62),"Overdue","")</f>
        <v/>
      </c>
      <c r="P62" s="17" t="str">
        <f ca="1">IF(O62="Overdue",Settings!$B$5-H62,"")</f>
        <v/>
      </c>
    </row>
    <row r="63" spans="1:16">
      <c r="A63" s="17" t="s">
        <v>127</v>
      </c>
      <c r="B63" s="17">
        <v>21</v>
      </c>
      <c r="C63" s="17" t="s">
        <v>125</v>
      </c>
      <c r="D63" s="17" t="s">
        <v>67</v>
      </c>
      <c r="E63" s="18" t="s">
        <v>126</v>
      </c>
      <c r="F63" s="17" t="s">
        <v>28</v>
      </c>
      <c r="G63" s="17" t="s">
        <v>21</v>
      </c>
      <c r="H63" s="19">
        <f>INDEX(Settings!$C$11:$C$14,MATCH(G63,Settings!$A$11:$A$14,0))</f>
        <v>46295</v>
      </c>
      <c r="I63" s="20"/>
      <c r="J63" s="20" t="s">
        <v>15</v>
      </c>
      <c r="K63" s="21"/>
      <c r="L63" s="21"/>
      <c r="M63" s="22"/>
      <c r="N63" s="22"/>
      <c r="O63" s="17" t="str">
        <f ca="1">IF(AND(J63&lt;&gt;"Done",J63&lt;&gt;"N/A",Settings!$B$5&gt;H63),"Overdue","")</f>
        <v/>
      </c>
      <c r="P63" s="17" t="str">
        <f ca="1">IF(O63="Overdue",Settings!$B$5-H63,"")</f>
        <v/>
      </c>
    </row>
    <row r="64" spans="1:16">
      <c r="A64" s="17" t="s">
        <v>128</v>
      </c>
      <c r="B64" s="17">
        <v>21</v>
      </c>
      <c r="C64" s="17" t="s">
        <v>125</v>
      </c>
      <c r="D64" s="17" t="s">
        <v>67</v>
      </c>
      <c r="E64" s="18" t="s">
        <v>126</v>
      </c>
      <c r="F64" s="17" t="s">
        <v>30</v>
      </c>
      <c r="G64" s="17" t="s">
        <v>21</v>
      </c>
      <c r="H64" s="19">
        <f>INDEX(Settings!$C$11:$C$14,MATCH(G64,Settings!$A$11:$A$14,0))</f>
        <v>46295</v>
      </c>
      <c r="I64" s="20"/>
      <c r="J64" s="20" t="s">
        <v>15</v>
      </c>
      <c r="K64" s="21"/>
      <c r="L64" s="21"/>
      <c r="M64" s="22"/>
      <c r="N64" s="22"/>
      <c r="O64" s="17" t="str">
        <f ca="1">IF(AND(J64&lt;&gt;"Done",J64&lt;&gt;"N/A",Settings!$B$5&gt;H64),"Overdue","")</f>
        <v/>
      </c>
      <c r="P64" s="17" t="str">
        <f ca="1">IF(O64="Overdue",Settings!$B$5-H64,"")</f>
        <v/>
      </c>
    </row>
    <row r="65" spans="1:16">
      <c r="A65" s="17" t="s">
        <v>129</v>
      </c>
      <c r="B65" s="17">
        <v>21</v>
      </c>
      <c r="C65" s="17" t="s">
        <v>125</v>
      </c>
      <c r="D65" s="17" t="s">
        <v>67</v>
      </c>
      <c r="E65" s="18" t="s">
        <v>126</v>
      </c>
      <c r="F65" s="17" t="s">
        <v>31</v>
      </c>
      <c r="G65" s="17" t="s">
        <v>21</v>
      </c>
      <c r="H65" s="19">
        <f>INDEX(Settings!$C$11:$C$14,MATCH(G65,Settings!$A$11:$A$14,0))</f>
        <v>46295</v>
      </c>
      <c r="I65" s="20"/>
      <c r="J65" s="20" t="s">
        <v>15</v>
      </c>
      <c r="K65" s="21"/>
      <c r="L65" s="21"/>
      <c r="M65" s="22"/>
      <c r="N65" s="22"/>
      <c r="O65" s="17" t="str">
        <f ca="1">IF(AND(J65&lt;&gt;"Done",J65&lt;&gt;"N/A",Settings!$B$5&gt;H65),"Overdue","")</f>
        <v/>
      </c>
      <c r="P65" s="17" t="str">
        <f ca="1">IF(O65="Overdue",Settings!$B$5-H65,"")</f>
        <v/>
      </c>
    </row>
    <row r="66" spans="1:16">
      <c r="A66" s="17" t="s">
        <v>130</v>
      </c>
      <c r="B66" s="17">
        <v>22</v>
      </c>
      <c r="C66" s="17" t="s">
        <v>125</v>
      </c>
      <c r="D66" s="17" t="s">
        <v>67</v>
      </c>
      <c r="E66" s="18" t="s">
        <v>131</v>
      </c>
      <c r="F66" s="17" t="s">
        <v>26</v>
      </c>
      <c r="G66" s="17" t="s">
        <v>22</v>
      </c>
      <c r="H66" s="19">
        <f>INDEX(Settings!$C$11:$C$14,MATCH(G66,Settings!$A$11:$A$14,0))</f>
        <v>46325</v>
      </c>
      <c r="I66" s="20"/>
      <c r="J66" s="20" t="s">
        <v>15</v>
      </c>
      <c r="K66" s="21"/>
      <c r="L66" s="21"/>
      <c r="M66" s="22"/>
      <c r="N66" s="22"/>
      <c r="O66" s="17" t="str">
        <f ca="1">IF(AND(J66&lt;&gt;"Done",J66&lt;&gt;"N/A",Settings!$B$5&gt;H66),"Overdue","")</f>
        <v/>
      </c>
      <c r="P66" s="17" t="str">
        <f ca="1">IF(O66="Overdue",Settings!$B$5-H66,"")</f>
        <v/>
      </c>
    </row>
    <row r="67" spans="1:16">
      <c r="A67" s="17" t="s">
        <v>132</v>
      </c>
      <c r="B67" s="17">
        <v>22</v>
      </c>
      <c r="C67" s="17" t="s">
        <v>125</v>
      </c>
      <c r="D67" s="17" t="s">
        <v>67</v>
      </c>
      <c r="E67" s="18" t="s">
        <v>131</v>
      </c>
      <c r="F67" s="17" t="s">
        <v>28</v>
      </c>
      <c r="G67" s="17" t="s">
        <v>21</v>
      </c>
      <c r="H67" s="19">
        <f>INDEX(Settings!$C$11:$C$14,MATCH(G67,Settings!$A$11:$A$14,0))</f>
        <v>46295</v>
      </c>
      <c r="I67" s="20"/>
      <c r="J67" s="20" t="s">
        <v>15</v>
      </c>
      <c r="K67" s="21"/>
      <c r="L67" s="21"/>
      <c r="M67" s="22"/>
      <c r="N67" s="22"/>
      <c r="O67" s="17" t="str">
        <f ca="1">IF(AND(J67&lt;&gt;"Done",J67&lt;&gt;"N/A",Settings!$B$5&gt;H67),"Overdue","")</f>
        <v/>
      </c>
      <c r="P67" s="17" t="str">
        <f ca="1">IF(O67="Overdue",Settings!$B$5-H67,"")</f>
        <v/>
      </c>
    </row>
    <row r="68" spans="1:16">
      <c r="A68" s="17" t="s">
        <v>133</v>
      </c>
      <c r="B68" s="17">
        <v>22</v>
      </c>
      <c r="C68" s="17" t="s">
        <v>125</v>
      </c>
      <c r="D68" s="17" t="s">
        <v>67</v>
      </c>
      <c r="E68" s="18" t="s">
        <v>131</v>
      </c>
      <c r="F68" s="17" t="s">
        <v>29</v>
      </c>
      <c r="G68" s="17" t="s">
        <v>21</v>
      </c>
      <c r="H68" s="19">
        <f>INDEX(Settings!$C$11:$C$14,MATCH(G68,Settings!$A$11:$A$14,0))</f>
        <v>46295</v>
      </c>
      <c r="I68" s="20"/>
      <c r="J68" s="20" t="s">
        <v>15</v>
      </c>
      <c r="K68" s="21"/>
      <c r="L68" s="21"/>
      <c r="M68" s="22"/>
      <c r="N68" s="22"/>
      <c r="O68" s="17" t="str">
        <f ca="1">IF(AND(J68&lt;&gt;"Done",J68&lt;&gt;"N/A",Settings!$B$5&gt;H68),"Overdue","")</f>
        <v/>
      </c>
      <c r="P68" s="17" t="str">
        <f ca="1">IF(O68="Overdue",Settings!$B$5-H68,"")</f>
        <v/>
      </c>
    </row>
    <row r="69" spans="1:16">
      <c r="A69" s="17" t="s">
        <v>134</v>
      </c>
      <c r="B69" s="17">
        <v>22</v>
      </c>
      <c r="C69" s="17" t="s">
        <v>125</v>
      </c>
      <c r="D69" s="17" t="s">
        <v>67</v>
      </c>
      <c r="E69" s="18" t="s">
        <v>131</v>
      </c>
      <c r="F69" s="17" t="s">
        <v>31</v>
      </c>
      <c r="G69" s="17" t="s">
        <v>21</v>
      </c>
      <c r="H69" s="19">
        <f>INDEX(Settings!$C$11:$C$14,MATCH(G69,Settings!$A$11:$A$14,0))</f>
        <v>46295</v>
      </c>
      <c r="I69" s="20"/>
      <c r="J69" s="20" t="s">
        <v>15</v>
      </c>
      <c r="K69" s="21"/>
      <c r="L69" s="21"/>
      <c r="M69" s="22"/>
      <c r="N69" s="22"/>
      <c r="O69" s="17" t="str">
        <f ca="1">IF(AND(J69&lt;&gt;"Done",J69&lt;&gt;"N/A",Settings!$B$5&gt;H69),"Overdue","")</f>
        <v/>
      </c>
      <c r="P69" s="17" t="str">
        <f ca="1">IF(O69="Overdue",Settings!$B$5-H69,"")</f>
        <v/>
      </c>
    </row>
    <row r="70" spans="1:16">
      <c r="A70" s="17" t="s">
        <v>135</v>
      </c>
      <c r="B70" s="17">
        <v>23</v>
      </c>
      <c r="C70" s="17" t="s">
        <v>125</v>
      </c>
      <c r="D70" s="17" t="s">
        <v>67</v>
      </c>
      <c r="E70" s="18" t="s">
        <v>136</v>
      </c>
      <c r="F70" s="17" t="s">
        <v>26</v>
      </c>
      <c r="G70" s="17" t="s">
        <v>22</v>
      </c>
      <c r="H70" s="19">
        <f>INDEX(Settings!$C$11:$C$14,MATCH(G70,Settings!$A$11:$A$14,0))</f>
        <v>46325</v>
      </c>
      <c r="I70" s="20"/>
      <c r="J70" s="20" t="s">
        <v>15</v>
      </c>
      <c r="K70" s="21"/>
      <c r="L70" s="21"/>
      <c r="M70" s="22"/>
      <c r="N70" s="22"/>
      <c r="O70" s="17" t="str">
        <f ca="1">IF(AND(J70&lt;&gt;"Done",J70&lt;&gt;"N/A",Settings!$B$5&gt;H70),"Overdue","")</f>
        <v/>
      </c>
      <c r="P70" s="17" t="str">
        <f ca="1">IF(O70="Overdue",Settings!$B$5-H70,"")</f>
        <v/>
      </c>
    </row>
    <row r="71" spans="1:16">
      <c r="A71" s="17" t="s">
        <v>137</v>
      </c>
      <c r="B71" s="17">
        <v>23</v>
      </c>
      <c r="C71" s="17" t="s">
        <v>125</v>
      </c>
      <c r="D71" s="17" t="s">
        <v>67</v>
      </c>
      <c r="E71" s="18" t="s">
        <v>136</v>
      </c>
      <c r="F71" s="17" t="s">
        <v>28</v>
      </c>
      <c r="G71" s="17" t="s">
        <v>21</v>
      </c>
      <c r="H71" s="19">
        <f>INDEX(Settings!$C$11:$C$14,MATCH(G71,Settings!$A$11:$A$14,0))</f>
        <v>46295</v>
      </c>
      <c r="I71" s="20"/>
      <c r="J71" s="20" t="s">
        <v>15</v>
      </c>
      <c r="K71" s="21"/>
      <c r="L71" s="21"/>
      <c r="M71" s="22"/>
      <c r="N71" s="22"/>
      <c r="O71" s="17" t="str">
        <f ca="1">IF(AND(J71&lt;&gt;"Done",J71&lt;&gt;"N/A",Settings!$B$5&gt;H71),"Overdue","")</f>
        <v/>
      </c>
      <c r="P71" s="17" t="str">
        <f ca="1">IF(O71="Overdue",Settings!$B$5-H71,"")</f>
        <v/>
      </c>
    </row>
    <row r="72" spans="1:16">
      <c r="A72" s="17" t="s">
        <v>138</v>
      </c>
      <c r="B72" s="17">
        <v>23</v>
      </c>
      <c r="C72" s="17" t="s">
        <v>125</v>
      </c>
      <c r="D72" s="17" t="s">
        <v>67</v>
      </c>
      <c r="E72" s="18" t="s">
        <v>136</v>
      </c>
      <c r="F72" s="17" t="s">
        <v>30</v>
      </c>
      <c r="G72" s="17" t="s">
        <v>21</v>
      </c>
      <c r="H72" s="19">
        <f>INDEX(Settings!$C$11:$C$14,MATCH(G72,Settings!$A$11:$A$14,0))</f>
        <v>46295</v>
      </c>
      <c r="I72" s="20"/>
      <c r="J72" s="20" t="s">
        <v>15</v>
      </c>
      <c r="K72" s="21"/>
      <c r="L72" s="21"/>
      <c r="M72" s="22"/>
      <c r="N72" s="22"/>
      <c r="O72" s="17" t="str">
        <f ca="1">IF(AND(J72&lt;&gt;"Done",J72&lt;&gt;"N/A",Settings!$B$5&gt;H72),"Overdue","")</f>
        <v/>
      </c>
      <c r="P72" s="17" t="str">
        <f ca="1">IF(O72="Overdue",Settings!$B$5-H72,"")</f>
        <v/>
      </c>
    </row>
    <row r="73" spans="1:16">
      <c r="A73" s="17" t="s">
        <v>139</v>
      </c>
      <c r="B73" s="17">
        <v>23</v>
      </c>
      <c r="C73" s="17" t="s">
        <v>125</v>
      </c>
      <c r="D73" s="17" t="s">
        <v>67</v>
      </c>
      <c r="E73" s="18" t="s">
        <v>136</v>
      </c>
      <c r="F73" s="17" t="s">
        <v>31</v>
      </c>
      <c r="G73" s="17" t="s">
        <v>21</v>
      </c>
      <c r="H73" s="19">
        <f>INDEX(Settings!$C$11:$C$14,MATCH(G73,Settings!$A$11:$A$14,0))</f>
        <v>46295</v>
      </c>
      <c r="I73" s="20"/>
      <c r="J73" s="20" t="s">
        <v>15</v>
      </c>
      <c r="K73" s="21"/>
      <c r="L73" s="21"/>
      <c r="M73" s="22"/>
      <c r="N73" s="22"/>
      <c r="O73" s="17" t="str">
        <f ca="1">IF(AND(J73&lt;&gt;"Done",J73&lt;&gt;"N/A",Settings!$B$5&gt;H73),"Overdue","")</f>
        <v/>
      </c>
      <c r="P73" s="17" t="str">
        <f ca="1">IF(O73="Overdue",Settings!$B$5-H73,"")</f>
        <v/>
      </c>
    </row>
    <row r="74" spans="1:16">
      <c r="A74" s="17" t="s">
        <v>140</v>
      </c>
      <c r="B74" s="17">
        <v>24</v>
      </c>
      <c r="C74" s="17" t="s">
        <v>125</v>
      </c>
      <c r="D74" s="17" t="s">
        <v>67</v>
      </c>
      <c r="E74" s="18" t="s">
        <v>141</v>
      </c>
      <c r="F74" s="17" t="s">
        <v>26</v>
      </c>
      <c r="G74" s="17" t="s">
        <v>22</v>
      </c>
      <c r="H74" s="19">
        <f>INDEX(Settings!$C$11:$C$14,MATCH(G74,Settings!$A$11:$A$14,0))</f>
        <v>46325</v>
      </c>
      <c r="I74" s="20"/>
      <c r="J74" s="20" t="s">
        <v>15</v>
      </c>
      <c r="K74" s="21"/>
      <c r="L74" s="21"/>
      <c r="M74" s="22"/>
      <c r="N74" s="22"/>
      <c r="O74" s="17" t="str">
        <f ca="1">IF(AND(J74&lt;&gt;"Done",J74&lt;&gt;"N/A",Settings!$B$5&gt;H74),"Overdue","")</f>
        <v/>
      </c>
      <c r="P74" s="17" t="str">
        <f ca="1">IF(O74="Overdue",Settings!$B$5-H74,"")</f>
        <v/>
      </c>
    </row>
    <row r="75" spans="1:16">
      <c r="A75" s="17" t="s">
        <v>142</v>
      </c>
      <c r="B75" s="17">
        <v>24</v>
      </c>
      <c r="C75" s="17" t="s">
        <v>125</v>
      </c>
      <c r="D75" s="17" t="s">
        <v>67</v>
      </c>
      <c r="E75" s="18" t="s">
        <v>141</v>
      </c>
      <c r="F75" s="17" t="s">
        <v>28</v>
      </c>
      <c r="G75" s="17" t="s">
        <v>21</v>
      </c>
      <c r="H75" s="19">
        <f>INDEX(Settings!$C$11:$C$14,MATCH(G75,Settings!$A$11:$A$14,0))</f>
        <v>46295</v>
      </c>
      <c r="I75" s="20"/>
      <c r="J75" s="20" t="s">
        <v>15</v>
      </c>
      <c r="K75" s="21"/>
      <c r="L75" s="21"/>
      <c r="M75" s="22"/>
      <c r="N75" s="22"/>
      <c r="O75" s="17" t="str">
        <f ca="1">IF(AND(J75&lt;&gt;"Done",J75&lt;&gt;"N/A",Settings!$B$5&gt;H75),"Overdue","")</f>
        <v/>
      </c>
      <c r="P75" s="17" t="str">
        <f ca="1">IF(O75="Overdue",Settings!$B$5-H75,"")</f>
        <v/>
      </c>
    </row>
    <row r="76" spans="1:16">
      <c r="A76" s="17" t="s">
        <v>143</v>
      </c>
      <c r="B76" s="17">
        <v>24</v>
      </c>
      <c r="C76" s="17" t="s">
        <v>125</v>
      </c>
      <c r="D76" s="17" t="s">
        <v>67</v>
      </c>
      <c r="E76" s="18" t="s">
        <v>141</v>
      </c>
      <c r="F76" s="17" t="s">
        <v>29</v>
      </c>
      <c r="G76" s="17" t="s">
        <v>21</v>
      </c>
      <c r="H76" s="19">
        <f>INDEX(Settings!$C$11:$C$14,MATCH(G76,Settings!$A$11:$A$14,0))</f>
        <v>46295</v>
      </c>
      <c r="I76" s="20"/>
      <c r="J76" s="20" t="s">
        <v>15</v>
      </c>
      <c r="K76" s="21"/>
      <c r="L76" s="21"/>
      <c r="M76" s="22"/>
      <c r="N76" s="22"/>
      <c r="O76" s="17" t="str">
        <f ca="1">IF(AND(J76&lt;&gt;"Done",J76&lt;&gt;"N/A",Settings!$B$5&gt;H76),"Overdue","")</f>
        <v/>
      </c>
      <c r="P76" s="17" t="str">
        <f ca="1">IF(O76="Overdue",Settings!$B$5-H76,"")</f>
        <v/>
      </c>
    </row>
    <row r="77" spans="1:16">
      <c r="A77" s="17" t="s">
        <v>144</v>
      </c>
      <c r="B77" s="17">
        <v>24</v>
      </c>
      <c r="C77" s="17" t="s">
        <v>125</v>
      </c>
      <c r="D77" s="17" t="s">
        <v>67</v>
      </c>
      <c r="E77" s="18" t="s">
        <v>141</v>
      </c>
      <c r="F77" s="17" t="s">
        <v>31</v>
      </c>
      <c r="G77" s="17" t="s">
        <v>21</v>
      </c>
      <c r="H77" s="19">
        <f>INDEX(Settings!$C$11:$C$14,MATCH(G77,Settings!$A$11:$A$14,0))</f>
        <v>46295</v>
      </c>
      <c r="I77" s="20"/>
      <c r="J77" s="20" t="s">
        <v>15</v>
      </c>
      <c r="K77" s="21"/>
      <c r="L77" s="21"/>
      <c r="M77" s="22"/>
      <c r="N77" s="22"/>
      <c r="O77" s="17" t="str">
        <f ca="1">IF(AND(J77&lt;&gt;"Done",J77&lt;&gt;"N/A",Settings!$B$5&gt;H77),"Overdue","")</f>
        <v/>
      </c>
      <c r="P77" s="17" t="str">
        <f ca="1">IF(O77="Overdue",Settings!$B$5-H77,"")</f>
        <v/>
      </c>
    </row>
    <row r="78" spans="1:16">
      <c r="A78" s="17" t="s">
        <v>145</v>
      </c>
      <c r="B78" s="17">
        <v>25</v>
      </c>
      <c r="C78" s="17" t="s">
        <v>125</v>
      </c>
      <c r="D78" s="17" t="s">
        <v>67</v>
      </c>
      <c r="E78" s="18" t="s">
        <v>146</v>
      </c>
      <c r="F78" s="17" t="s">
        <v>26</v>
      </c>
      <c r="G78" s="17" t="s">
        <v>22</v>
      </c>
      <c r="H78" s="19">
        <f>INDEX(Settings!$C$11:$C$14,MATCH(G78,Settings!$A$11:$A$14,0))</f>
        <v>46325</v>
      </c>
      <c r="I78" s="20"/>
      <c r="J78" s="20" t="s">
        <v>15</v>
      </c>
      <c r="K78" s="21"/>
      <c r="L78" s="21"/>
      <c r="M78" s="22"/>
      <c r="N78" s="22"/>
      <c r="O78" s="17" t="str">
        <f ca="1">IF(AND(J78&lt;&gt;"Done",J78&lt;&gt;"N/A",Settings!$B$5&gt;H78),"Overdue","")</f>
        <v/>
      </c>
      <c r="P78" s="17" t="str">
        <f ca="1">IF(O78="Overdue",Settings!$B$5-H78,"")</f>
        <v/>
      </c>
    </row>
    <row r="79" spans="1:16">
      <c r="A79" s="17" t="s">
        <v>147</v>
      </c>
      <c r="B79" s="17">
        <v>25</v>
      </c>
      <c r="C79" s="17" t="s">
        <v>125</v>
      </c>
      <c r="D79" s="17" t="s">
        <v>67</v>
      </c>
      <c r="E79" s="18" t="s">
        <v>146</v>
      </c>
      <c r="F79" s="17" t="s">
        <v>28</v>
      </c>
      <c r="G79" s="17" t="s">
        <v>21</v>
      </c>
      <c r="H79" s="19">
        <f>INDEX(Settings!$C$11:$C$14,MATCH(G79,Settings!$A$11:$A$14,0))</f>
        <v>46295</v>
      </c>
      <c r="I79" s="20"/>
      <c r="J79" s="20" t="s">
        <v>15</v>
      </c>
      <c r="K79" s="21"/>
      <c r="L79" s="21"/>
      <c r="M79" s="22"/>
      <c r="N79" s="22"/>
      <c r="O79" s="17" t="str">
        <f ca="1">IF(AND(J79&lt;&gt;"Done",J79&lt;&gt;"N/A",Settings!$B$5&gt;H79),"Overdue","")</f>
        <v/>
      </c>
      <c r="P79" s="17" t="str">
        <f ca="1">IF(O79="Overdue",Settings!$B$5-H79,"")</f>
        <v/>
      </c>
    </row>
    <row r="80" spans="1:16">
      <c r="A80" s="17" t="s">
        <v>148</v>
      </c>
      <c r="B80" s="17">
        <v>25</v>
      </c>
      <c r="C80" s="17" t="s">
        <v>125</v>
      </c>
      <c r="D80" s="17" t="s">
        <v>67</v>
      </c>
      <c r="E80" s="18" t="s">
        <v>146</v>
      </c>
      <c r="F80" s="17" t="s">
        <v>31</v>
      </c>
      <c r="G80" s="17" t="s">
        <v>21</v>
      </c>
      <c r="H80" s="19">
        <f>INDEX(Settings!$C$11:$C$14,MATCH(G80,Settings!$A$11:$A$14,0))</f>
        <v>46295</v>
      </c>
      <c r="I80" s="20"/>
      <c r="J80" s="20" t="s">
        <v>15</v>
      </c>
      <c r="K80" s="21"/>
      <c r="L80" s="21"/>
      <c r="M80" s="22"/>
      <c r="N80" s="22"/>
      <c r="O80" s="17" t="str">
        <f ca="1">IF(AND(J80&lt;&gt;"Done",J80&lt;&gt;"N/A",Settings!$B$5&gt;H80),"Overdue","")</f>
        <v/>
      </c>
      <c r="P80" s="17" t="str">
        <f ca="1">IF(O80="Overdue",Settings!$B$5-H80,"")</f>
        <v/>
      </c>
    </row>
    <row r="81" spans="1:16">
      <c r="A81" s="17" t="s">
        <v>149</v>
      </c>
      <c r="B81" s="17">
        <v>25</v>
      </c>
      <c r="C81" s="17" t="s">
        <v>125</v>
      </c>
      <c r="D81" s="17" t="s">
        <v>67</v>
      </c>
      <c r="E81" s="18" t="s">
        <v>146</v>
      </c>
      <c r="F81" s="17" t="s">
        <v>234</v>
      </c>
      <c r="G81" s="17" t="s">
        <v>21</v>
      </c>
      <c r="H81" s="19">
        <f>INDEX(Settings!$C$11:$C$14,MATCH(G81,Settings!$A$11:$A$14,0))</f>
        <v>46295</v>
      </c>
      <c r="I81" s="20"/>
      <c r="J81" s="20" t="s">
        <v>15</v>
      </c>
      <c r="K81" s="21"/>
      <c r="L81" s="21"/>
      <c r="M81" s="22"/>
      <c r="N81" s="22"/>
      <c r="O81" s="17" t="str">
        <f ca="1">IF(AND(J81&lt;&gt;"Done",J81&lt;&gt;"N/A",Settings!$B$5&gt;H81),"Overdue","")</f>
        <v/>
      </c>
      <c r="P81" s="17" t="str">
        <f ca="1">IF(O81="Overdue",Settings!$B$5-H81,"")</f>
        <v/>
      </c>
    </row>
    <row r="82" spans="1:16">
      <c r="A82" s="17" t="s">
        <v>150</v>
      </c>
      <c r="B82" s="17">
        <v>26</v>
      </c>
      <c r="C82" s="17" t="s">
        <v>125</v>
      </c>
      <c r="D82" s="17" t="s">
        <v>67</v>
      </c>
      <c r="E82" s="18" t="s">
        <v>151</v>
      </c>
      <c r="F82" s="17" t="s">
        <v>26</v>
      </c>
      <c r="G82" s="17" t="s">
        <v>22</v>
      </c>
      <c r="H82" s="19">
        <f>INDEX(Settings!$C$11:$C$14,MATCH(G82,Settings!$A$11:$A$14,0))</f>
        <v>46325</v>
      </c>
      <c r="I82" s="20"/>
      <c r="J82" s="20" t="s">
        <v>15</v>
      </c>
      <c r="K82" s="21"/>
      <c r="L82" s="21"/>
      <c r="M82" s="22"/>
      <c r="N82" s="22"/>
      <c r="O82" s="17" t="str">
        <f ca="1">IF(AND(J82&lt;&gt;"Done",J82&lt;&gt;"N/A",Settings!$B$5&gt;H82),"Overdue","")</f>
        <v/>
      </c>
      <c r="P82" s="17" t="str">
        <f ca="1">IF(O82="Overdue",Settings!$B$5-H82,"")</f>
        <v/>
      </c>
    </row>
    <row r="83" spans="1:16">
      <c r="A83" s="17" t="s">
        <v>152</v>
      </c>
      <c r="B83" s="17">
        <v>26</v>
      </c>
      <c r="C83" s="17" t="s">
        <v>125</v>
      </c>
      <c r="D83" s="17" t="s">
        <v>67</v>
      </c>
      <c r="E83" s="18" t="s">
        <v>151</v>
      </c>
      <c r="F83" s="17" t="s">
        <v>28</v>
      </c>
      <c r="G83" s="17" t="s">
        <v>21</v>
      </c>
      <c r="H83" s="19">
        <f>INDEX(Settings!$C$11:$C$14,MATCH(G83,Settings!$A$11:$A$14,0))</f>
        <v>46295</v>
      </c>
      <c r="I83" s="20"/>
      <c r="J83" s="20" t="s">
        <v>15</v>
      </c>
      <c r="K83" s="21"/>
      <c r="L83" s="21"/>
      <c r="M83" s="22"/>
      <c r="N83" s="22"/>
      <c r="O83" s="17" t="str">
        <f ca="1">IF(AND(J83&lt;&gt;"Done",J83&lt;&gt;"N/A",Settings!$B$5&gt;H83),"Overdue","")</f>
        <v/>
      </c>
      <c r="P83" s="17" t="str">
        <f ca="1">IF(O83="Overdue",Settings!$B$5-H83,"")</f>
        <v/>
      </c>
    </row>
    <row r="84" spans="1:16">
      <c r="A84" s="17" t="s">
        <v>153</v>
      </c>
      <c r="B84" s="17">
        <v>26</v>
      </c>
      <c r="C84" s="17" t="s">
        <v>125</v>
      </c>
      <c r="D84" s="17" t="s">
        <v>67</v>
      </c>
      <c r="E84" s="18" t="s">
        <v>151</v>
      </c>
      <c r="F84" s="17" t="s">
        <v>31</v>
      </c>
      <c r="G84" s="17" t="s">
        <v>21</v>
      </c>
      <c r="H84" s="19">
        <f>INDEX(Settings!$C$11:$C$14,MATCH(G84,Settings!$A$11:$A$14,0))</f>
        <v>46295</v>
      </c>
      <c r="I84" s="20"/>
      <c r="J84" s="20" t="s">
        <v>15</v>
      </c>
      <c r="K84" s="21"/>
      <c r="L84" s="21"/>
      <c r="M84" s="22"/>
      <c r="N84" s="22"/>
      <c r="O84" s="17" t="str">
        <f ca="1">IF(AND(J84&lt;&gt;"Done",J84&lt;&gt;"N/A",Settings!$B$5&gt;H84),"Overdue","")</f>
        <v/>
      </c>
      <c r="P84" s="17" t="str">
        <f ca="1">IF(O84="Overdue",Settings!$B$5-H84,"")</f>
        <v/>
      </c>
    </row>
    <row r="85" spans="1:16">
      <c r="A85" s="17" t="s">
        <v>154</v>
      </c>
      <c r="B85" s="17">
        <v>27</v>
      </c>
      <c r="C85" s="17" t="s">
        <v>125</v>
      </c>
      <c r="D85" s="17" t="s">
        <v>67</v>
      </c>
      <c r="E85" s="18" t="s">
        <v>155</v>
      </c>
      <c r="F85" s="17" t="s">
        <v>26</v>
      </c>
      <c r="G85" s="17" t="s">
        <v>22</v>
      </c>
      <c r="H85" s="19">
        <f>INDEX(Settings!$C$11:$C$14,MATCH(G85,Settings!$A$11:$A$14,0))</f>
        <v>46325</v>
      </c>
      <c r="I85" s="20"/>
      <c r="J85" s="20" t="s">
        <v>15</v>
      </c>
      <c r="K85" s="21"/>
      <c r="L85" s="21"/>
      <c r="M85" s="22"/>
      <c r="N85" s="22"/>
      <c r="O85" s="17" t="str">
        <f ca="1">IF(AND(J85&lt;&gt;"Done",J85&lt;&gt;"N/A",Settings!$B$5&gt;H85),"Overdue","")</f>
        <v/>
      </c>
      <c r="P85" s="17" t="str">
        <f ca="1">IF(O85="Overdue",Settings!$B$5-H85,"")</f>
        <v/>
      </c>
    </row>
    <row r="86" spans="1:16">
      <c r="A86" s="17" t="s">
        <v>156</v>
      </c>
      <c r="B86" s="17">
        <v>27</v>
      </c>
      <c r="C86" s="17" t="s">
        <v>125</v>
      </c>
      <c r="D86" s="17" t="s">
        <v>67</v>
      </c>
      <c r="E86" s="18" t="s">
        <v>155</v>
      </c>
      <c r="F86" s="17" t="s">
        <v>28</v>
      </c>
      <c r="G86" s="17" t="s">
        <v>21</v>
      </c>
      <c r="H86" s="19">
        <f>INDEX(Settings!$C$11:$C$14,MATCH(G86,Settings!$A$11:$A$14,0))</f>
        <v>46295</v>
      </c>
      <c r="I86" s="20"/>
      <c r="J86" s="20" t="s">
        <v>15</v>
      </c>
      <c r="K86" s="21"/>
      <c r="L86" s="21"/>
      <c r="M86" s="22"/>
      <c r="N86" s="22"/>
      <c r="O86" s="17" t="str">
        <f ca="1">IF(AND(J86&lt;&gt;"Done",J86&lt;&gt;"N/A",Settings!$B$5&gt;H86),"Overdue","")</f>
        <v/>
      </c>
      <c r="P86" s="17" t="str">
        <f ca="1">IF(O86="Overdue",Settings!$B$5-H86,"")</f>
        <v/>
      </c>
    </row>
    <row r="87" spans="1:16">
      <c r="A87" s="17" t="s">
        <v>157</v>
      </c>
      <c r="B87" s="17">
        <v>27</v>
      </c>
      <c r="C87" s="17" t="s">
        <v>125</v>
      </c>
      <c r="D87" s="17" t="s">
        <v>67</v>
      </c>
      <c r="E87" s="18" t="s">
        <v>155</v>
      </c>
      <c r="F87" s="17" t="s">
        <v>29</v>
      </c>
      <c r="G87" s="17" t="s">
        <v>21</v>
      </c>
      <c r="H87" s="19">
        <f>INDEX(Settings!$C$11:$C$14,MATCH(G87,Settings!$A$11:$A$14,0))</f>
        <v>46295</v>
      </c>
      <c r="I87" s="20"/>
      <c r="J87" s="20" t="s">
        <v>15</v>
      </c>
      <c r="K87" s="21"/>
      <c r="L87" s="21"/>
      <c r="M87" s="22"/>
      <c r="N87" s="22"/>
      <c r="O87" s="17" t="str">
        <f ca="1">IF(AND(J87&lt;&gt;"Done",J87&lt;&gt;"N/A",Settings!$B$5&gt;H87),"Overdue","")</f>
        <v/>
      </c>
      <c r="P87" s="17" t="str">
        <f ca="1">IF(O87="Overdue",Settings!$B$5-H87,"")</f>
        <v/>
      </c>
    </row>
    <row r="88" spans="1:16">
      <c r="A88" s="17" t="s">
        <v>158</v>
      </c>
      <c r="B88" s="17">
        <v>27</v>
      </c>
      <c r="C88" s="17" t="s">
        <v>125</v>
      </c>
      <c r="D88" s="17" t="s">
        <v>67</v>
      </c>
      <c r="E88" s="18" t="s">
        <v>155</v>
      </c>
      <c r="F88" s="17" t="s">
        <v>31</v>
      </c>
      <c r="G88" s="17" t="s">
        <v>21</v>
      </c>
      <c r="H88" s="19">
        <f>INDEX(Settings!$C$11:$C$14,MATCH(G88,Settings!$A$11:$A$14,0))</f>
        <v>46295</v>
      </c>
      <c r="I88" s="20"/>
      <c r="J88" s="20" t="s">
        <v>15</v>
      </c>
      <c r="K88" s="21"/>
      <c r="L88" s="21"/>
      <c r="M88" s="22"/>
      <c r="N88" s="22"/>
      <c r="O88" s="17" t="str">
        <f ca="1">IF(AND(J88&lt;&gt;"Done",J88&lt;&gt;"N/A",Settings!$B$5&gt;H88),"Overdue","")</f>
        <v/>
      </c>
      <c r="P88" s="17" t="str">
        <f ca="1">IF(O88="Overdue",Settings!$B$5-H88,"")</f>
        <v/>
      </c>
    </row>
    <row r="89" spans="1:16">
      <c r="A89" s="17" t="s">
        <v>159</v>
      </c>
      <c r="B89" s="17">
        <v>27</v>
      </c>
      <c r="C89" s="17" t="s">
        <v>125</v>
      </c>
      <c r="D89" s="17" t="s">
        <v>67</v>
      </c>
      <c r="E89" s="18" t="s">
        <v>155</v>
      </c>
      <c r="F89" s="17" t="s">
        <v>234</v>
      </c>
      <c r="G89" s="17" t="s">
        <v>21</v>
      </c>
      <c r="H89" s="19">
        <f>INDEX(Settings!$C$11:$C$14,MATCH(G89,Settings!$A$11:$A$14,0))</f>
        <v>46295</v>
      </c>
      <c r="I89" s="20"/>
      <c r="J89" s="20" t="s">
        <v>15</v>
      </c>
      <c r="K89" s="21"/>
      <c r="L89" s="21"/>
      <c r="M89" s="22"/>
      <c r="N89" s="22"/>
      <c r="O89" s="17" t="str">
        <f ca="1">IF(AND(J89&lt;&gt;"Done",J89&lt;&gt;"N/A",Settings!$B$5&gt;H89),"Overdue","")</f>
        <v/>
      </c>
      <c r="P89" s="17" t="str">
        <f ca="1">IF(O89="Overdue",Settings!$B$5-H89,"")</f>
        <v/>
      </c>
    </row>
    <row r="90" spans="1:16">
      <c r="A90" s="17" t="s">
        <v>160</v>
      </c>
      <c r="B90" s="17">
        <v>28</v>
      </c>
      <c r="C90" s="17" t="s">
        <v>161</v>
      </c>
      <c r="D90" s="17" t="s">
        <v>162</v>
      </c>
      <c r="E90" s="18" t="s">
        <v>163</v>
      </c>
      <c r="F90" s="17" t="s">
        <v>29</v>
      </c>
      <c r="G90" s="17" t="s">
        <v>20</v>
      </c>
      <c r="H90" s="19">
        <f>INDEX(Settings!$C$11:$C$14,MATCH(G90,Settings!$A$11:$A$14,0))</f>
        <v>46265</v>
      </c>
      <c r="I90" s="20"/>
      <c r="J90" s="20" t="s">
        <v>15</v>
      </c>
      <c r="K90" s="21"/>
      <c r="L90" s="21"/>
      <c r="M90" s="22"/>
      <c r="N90" s="22"/>
      <c r="O90" s="17" t="str">
        <f ca="1">IF(AND(J90&lt;&gt;"Done",J90&lt;&gt;"N/A",Settings!$B$5&gt;H90),"Overdue","")</f>
        <v>Overdue</v>
      </c>
      <c r="P90" s="17">
        <f ca="1">IF(O90="Overdue",Settings!$B$5-H90,"")</f>
        <v>30</v>
      </c>
    </row>
    <row r="91" spans="1:16" ht="25.5">
      <c r="A91" s="17" t="s">
        <v>164</v>
      </c>
      <c r="B91" s="17">
        <v>29</v>
      </c>
      <c r="C91" s="17" t="s">
        <v>161</v>
      </c>
      <c r="D91" s="17" t="s">
        <v>162</v>
      </c>
      <c r="E91" s="18" t="s">
        <v>165</v>
      </c>
      <c r="F91" s="17" t="s">
        <v>29</v>
      </c>
      <c r="G91" s="17" t="s">
        <v>20</v>
      </c>
      <c r="H91" s="19">
        <f>INDEX(Settings!$C$11:$C$14,MATCH(G91,Settings!$A$11:$A$14,0))</f>
        <v>46265</v>
      </c>
      <c r="I91" s="20"/>
      <c r="J91" s="20" t="s">
        <v>15</v>
      </c>
      <c r="K91" s="21"/>
      <c r="L91" s="21"/>
      <c r="M91" s="22"/>
      <c r="N91" s="22"/>
      <c r="O91" s="17" t="str">
        <f ca="1">IF(AND(J91&lt;&gt;"Done",J91&lt;&gt;"N/A",Settings!$B$5&gt;H91),"Overdue","")</f>
        <v>Overdue</v>
      </c>
      <c r="P91" s="17">
        <f ca="1">IF(O91="Overdue",Settings!$B$5-H91,"")</f>
        <v>30</v>
      </c>
    </row>
    <row r="92" spans="1:16" ht="25.5">
      <c r="A92" s="17" t="s">
        <v>166</v>
      </c>
      <c r="B92" s="17">
        <v>29</v>
      </c>
      <c r="C92" s="17" t="s">
        <v>161</v>
      </c>
      <c r="D92" s="17" t="s">
        <v>162</v>
      </c>
      <c r="E92" s="18" t="s">
        <v>165</v>
      </c>
      <c r="F92" s="17" t="s">
        <v>30</v>
      </c>
      <c r="G92" s="17" t="s">
        <v>20</v>
      </c>
      <c r="H92" s="19">
        <f>INDEX(Settings!$C$11:$C$14,MATCH(G92,Settings!$A$11:$A$14,0))</f>
        <v>46265</v>
      </c>
      <c r="I92" s="20"/>
      <c r="J92" s="20" t="s">
        <v>15</v>
      </c>
      <c r="K92" s="21"/>
      <c r="L92" s="21"/>
      <c r="M92" s="22"/>
      <c r="N92" s="22"/>
      <c r="O92" s="17" t="str">
        <f ca="1">IF(AND(J92&lt;&gt;"Done",J92&lt;&gt;"N/A",Settings!$B$5&gt;H92),"Overdue","")</f>
        <v>Overdue</v>
      </c>
      <c r="P92" s="17">
        <f ca="1">IF(O92="Overdue",Settings!$B$5-H92,"")</f>
        <v>30</v>
      </c>
    </row>
    <row r="93" spans="1:16">
      <c r="A93" s="17" t="s">
        <v>167</v>
      </c>
      <c r="B93" s="17">
        <v>30</v>
      </c>
      <c r="C93" s="17" t="s">
        <v>161</v>
      </c>
      <c r="D93" s="17" t="s">
        <v>162</v>
      </c>
      <c r="E93" s="18" t="s">
        <v>168</v>
      </c>
      <c r="F93" s="17" t="s">
        <v>30</v>
      </c>
      <c r="G93" s="17" t="s">
        <v>20</v>
      </c>
      <c r="H93" s="19">
        <f>INDEX(Settings!$C$11:$C$14,MATCH(G93,Settings!$A$11:$A$14,0))</f>
        <v>46265</v>
      </c>
      <c r="I93" s="20"/>
      <c r="J93" s="20" t="s">
        <v>15</v>
      </c>
      <c r="K93" s="21"/>
      <c r="L93" s="21"/>
      <c r="M93" s="22"/>
      <c r="N93" s="22"/>
      <c r="O93" s="17" t="str">
        <f ca="1">IF(AND(J93&lt;&gt;"Done",J93&lt;&gt;"N/A",Settings!$B$5&gt;H93),"Overdue","")</f>
        <v>Overdue</v>
      </c>
      <c r="P93" s="17">
        <f ca="1">IF(O93="Overdue",Settings!$B$5-H93,"")</f>
        <v>30</v>
      </c>
    </row>
    <row r="94" spans="1:16">
      <c r="A94" s="17" t="s">
        <v>169</v>
      </c>
      <c r="B94" s="17">
        <v>31</v>
      </c>
      <c r="C94" s="17" t="s">
        <v>161</v>
      </c>
      <c r="D94" s="17" t="s">
        <v>162</v>
      </c>
      <c r="E94" s="18" t="s">
        <v>170</v>
      </c>
      <c r="F94" s="17" t="s">
        <v>30</v>
      </c>
      <c r="G94" s="17" t="s">
        <v>20</v>
      </c>
      <c r="H94" s="19">
        <f>INDEX(Settings!$C$11:$C$14,MATCH(G94,Settings!$A$11:$A$14,0))</f>
        <v>46265</v>
      </c>
      <c r="I94" s="20"/>
      <c r="J94" s="20" t="s">
        <v>15</v>
      </c>
      <c r="K94" s="21"/>
      <c r="L94" s="21"/>
      <c r="M94" s="22"/>
      <c r="N94" s="22"/>
      <c r="O94" s="17" t="str">
        <f ca="1">IF(AND(J94&lt;&gt;"Done",J94&lt;&gt;"N/A",Settings!$B$5&gt;H94),"Overdue","")</f>
        <v>Overdue</v>
      </c>
      <c r="P94" s="17">
        <f ca="1">IF(O94="Overdue",Settings!$B$5-H94,"")</f>
        <v>30</v>
      </c>
    </row>
    <row r="95" spans="1:16">
      <c r="A95" s="17" t="s">
        <v>171</v>
      </c>
      <c r="B95" s="17">
        <v>32</v>
      </c>
      <c r="C95" s="17" t="s">
        <v>161</v>
      </c>
      <c r="D95" s="17" t="s">
        <v>162</v>
      </c>
      <c r="E95" s="18" t="s">
        <v>172</v>
      </c>
      <c r="F95" s="17" t="s">
        <v>30</v>
      </c>
      <c r="G95" s="17" t="s">
        <v>20</v>
      </c>
      <c r="H95" s="19">
        <f>INDEX(Settings!$C$11:$C$14,MATCH(G95,Settings!$A$11:$A$14,0))</f>
        <v>46265</v>
      </c>
      <c r="I95" s="20"/>
      <c r="J95" s="20" t="s">
        <v>15</v>
      </c>
      <c r="K95" s="21"/>
      <c r="L95" s="21"/>
      <c r="M95" s="22"/>
      <c r="N95" s="22"/>
      <c r="O95" s="17" t="str">
        <f ca="1">IF(AND(J95&lt;&gt;"Done",J95&lt;&gt;"N/A",Settings!$B$5&gt;H95),"Overdue","")</f>
        <v>Overdue</v>
      </c>
      <c r="P95" s="17">
        <f ca="1">IF(O95="Overdue",Settings!$B$5-H95,"")</f>
        <v>30</v>
      </c>
    </row>
    <row r="96" spans="1:16">
      <c r="A96" s="17" t="s">
        <v>173</v>
      </c>
      <c r="B96" s="17">
        <v>33</v>
      </c>
      <c r="C96" s="17" t="s">
        <v>161</v>
      </c>
      <c r="D96" s="17" t="s">
        <v>162</v>
      </c>
      <c r="E96" s="18" t="s">
        <v>174</v>
      </c>
      <c r="F96" s="17" t="s">
        <v>29</v>
      </c>
      <c r="G96" s="17" t="s">
        <v>21</v>
      </c>
      <c r="H96" s="19">
        <f>INDEX(Settings!$C$11:$C$14,MATCH(G96,Settings!$A$11:$A$14,0))</f>
        <v>46295</v>
      </c>
      <c r="I96" s="20"/>
      <c r="J96" s="20" t="s">
        <v>15</v>
      </c>
      <c r="K96" s="21"/>
      <c r="L96" s="21"/>
      <c r="M96" s="22"/>
      <c r="N96" s="22"/>
      <c r="O96" s="17" t="str">
        <f ca="1">IF(AND(J96&lt;&gt;"Done",J96&lt;&gt;"N/A",Settings!$B$5&gt;H96),"Overdue","")</f>
        <v/>
      </c>
      <c r="P96" s="17" t="str">
        <f ca="1">IF(O96="Overdue",Settings!$B$5-H96,"")</f>
        <v/>
      </c>
    </row>
  </sheetData>
  <autoFilter ref="A4:P96"/>
  <conditionalFormatting sqref="J5:J96">
    <cfRule type="expression" dxfId="36" priority="2">
      <formula>$J5="Done"</formula>
    </cfRule>
    <cfRule type="expression" dxfId="35" priority="3">
      <formula>$J5="In progress"</formula>
    </cfRule>
    <cfRule type="expression" dxfId="34" priority="4">
      <formula>$J5="Blocked"</formula>
    </cfRule>
    <cfRule type="expression" dxfId="33" priority="5">
      <formula>$J5="N/A"</formula>
    </cfRule>
  </conditionalFormatting>
  <conditionalFormatting sqref="O5:P96">
    <cfRule type="expression" dxfId="32" priority="6">
      <formula>$O5="Overdue"</formula>
    </cfRule>
  </conditionalFormatting>
  <dataValidations count="2">
    <dataValidation type="list" sqref="J5:J96">
      <formula1>Settings!$A$18:$A$22</formula1>
      <formula2>0</formula2>
    </dataValidation>
    <dataValidation type="date" operator="greaterThan" sqref="K5:L96">
      <formula1>DATE(2020,1,1)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selection activeCell="B5" sqref="B5:B11"/>
    </sheetView>
  </sheetViews>
  <sheetFormatPr defaultColWidth="8.7109375" defaultRowHeight="15"/>
  <cols>
    <col min="1" max="1" width="5" customWidth="1"/>
    <col min="2" max="2" width="32" customWidth="1"/>
    <col min="3" max="3" width="16" customWidth="1"/>
    <col min="4" max="4" width="13" customWidth="1"/>
    <col min="5" max="5" width="12" customWidth="1"/>
    <col min="6" max="6" width="45" customWidth="1"/>
    <col min="7" max="7" width="40" customWidth="1"/>
  </cols>
  <sheetData>
    <row r="1" spans="1:7" ht="20.25">
      <c r="A1" s="1" t="s">
        <v>205</v>
      </c>
    </row>
    <row r="2" spans="1:7">
      <c r="A2" s="2" t="s">
        <v>206</v>
      </c>
    </row>
    <row r="4" spans="1:7" ht="30" customHeight="1">
      <c r="A4" s="8" t="s">
        <v>36</v>
      </c>
      <c r="B4" s="8" t="s">
        <v>207</v>
      </c>
      <c r="C4" s="8" t="s">
        <v>41</v>
      </c>
      <c r="D4" s="8" t="s">
        <v>42</v>
      </c>
      <c r="E4" s="8" t="s">
        <v>208</v>
      </c>
      <c r="F4" s="8" t="s">
        <v>209</v>
      </c>
      <c r="G4" s="8" t="s">
        <v>46</v>
      </c>
    </row>
    <row r="5" spans="1:7">
      <c r="A5" s="23">
        <v>1</v>
      </c>
      <c r="B5" s="23" t="s">
        <v>210</v>
      </c>
      <c r="C5" s="24"/>
      <c r="D5" s="24" t="s">
        <v>15</v>
      </c>
      <c r="E5" s="24"/>
      <c r="F5" s="24"/>
      <c r="G5" s="24"/>
    </row>
    <row r="6" spans="1:7">
      <c r="A6" s="23">
        <v>2</v>
      </c>
      <c r="B6" s="23" t="s">
        <v>211</v>
      </c>
      <c r="C6" s="24"/>
      <c r="D6" s="24" t="s">
        <v>15</v>
      </c>
      <c r="E6" s="24"/>
      <c r="F6" s="24"/>
      <c r="G6" s="24"/>
    </row>
    <row r="7" spans="1:7">
      <c r="A7" s="23">
        <v>3</v>
      </c>
      <c r="B7" s="23" t="s">
        <v>212</v>
      </c>
      <c r="C7" s="24"/>
      <c r="D7" s="24" t="s">
        <v>15</v>
      </c>
      <c r="E7" s="24"/>
      <c r="F7" s="24"/>
      <c r="G7" s="24"/>
    </row>
    <row r="8" spans="1:7">
      <c r="A8" s="23">
        <v>4</v>
      </c>
      <c r="B8" s="23" t="s">
        <v>213</v>
      </c>
      <c r="C8" s="24"/>
      <c r="D8" s="24" t="s">
        <v>15</v>
      </c>
      <c r="E8" s="24"/>
      <c r="F8" s="24"/>
      <c r="G8" s="24"/>
    </row>
    <row r="9" spans="1:7">
      <c r="A9" s="23">
        <v>5</v>
      </c>
      <c r="B9" s="23" t="s">
        <v>214</v>
      </c>
      <c r="C9" s="24"/>
      <c r="D9" s="24" t="s">
        <v>15</v>
      </c>
      <c r="E9" s="24"/>
      <c r="F9" s="24"/>
      <c r="G9" s="24"/>
    </row>
    <row r="10" spans="1:7">
      <c r="A10" s="23">
        <v>6</v>
      </c>
      <c r="B10" s="23" t="s">
        <v>215</v>
      </c>
      <c r="C10" s="24"/>
      <c r="D10" s="24" t="s">
        <v>15</v>
      </c>
      <c r="E10" s="24"/>
      <c r="F10" s="24"/>
      <c r="G10" s="24"/>
    </row>
  </sheetData>
  <conditionalFormatting sqref="D5:D10">
    <cfRule type="expression" dxfId="27" priority="2">
      <formula>$D5="Done"</formula>
    </cfRule>
    <cfRule type="expression" dxfId="26" priority="3">
      <formula>$D5="In progress"</formula>
    </cfRule>
    <cfRule type="expression" dxfId="25" priority="4">
      <formula>$D5="Blocked"</formula>
    </cfRule>
    <cfRule type="expression" dxfId="24" priority="5">
      <formula>$D5="N/A"</formula>
    </cfRule>
  </conditionalFormatting>
  <dataValidations count="1">
    <dataValidation type="list" sqref="D5:D10">
      <formula1>Settings!$A$18:$A$22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2"/>
  <sheetViews>
    <sheetView workbookViewId="0">
      <selection activeCell="D14" sqref="A10:D14"/>
    </sheetView>
  </sheetViews>
  <sheetFormatPr defaultColWidth="8.7109375" defaultRowHeight="15"/>
  <cols>
    <col min="1" max="1" width="26" customWidth="1"/>
    <col min="2" max="2" width="14" customWidth="1"/>
    <col min="3" max="3" width="16" customWidth="1"/>
    <col min="4" max="4" width="90" customWidth="1"/>
  </cols>
  <sheetData>
    <row r="1" spans="1:4" ht="20.25">
      <c r="A1" s="1" t="s">
        <v>216</v>
      </c>
    </row>
    <row r="2" spans="1:4">
      <c r="A2" s="2" t="s">
        <v>217</v>
      </c>
    </row>
    <row r="4" spans="1:4">
      <c r="A4" s="13" t="s">
        <v>218</v>
      </c>
      <c r="B4" s="27">
        <v>46235</v>
      </c>
      <c r="C4" s="28"/>
      <c r="D4" s="28"/>
    </row>
    <row r="5" spans="1:4">
      <c r="A5" s="13" t="s">
        <v>219</v>
      </c>
      <c r="B5" s="29">
        <f ca="1">TODAY()</f>
        <v>46295</v>
      </c>
      <c r="C5" s="28"/>
      <c r="D5" s="28"/>
    </row>
    <row r="6" spans="1:4">
      <c r="A6" s="13" t="s">
        <v>2</v>
      </c>
      <c r="B6" s="28">
        <f ca="1">MAX(0,B5-B4)</f>
        <v>60</v>
      </c>
      <c r="C6" s="28"/>
      <c r="D6" s="28"/>
    </row>
    <row r="7" spans="1:4">
      <c r="A7" s="13" t="s">
        <v>3</v>
      </c>
      <c r="B7" s="28" t="str">
        <f ca="1">IF(B6&lt;=B11,A11,IF(B6&lt;=B12,A12,IF(B6&lt;=B13,A13,A14)))</f>
        <v>60 Day</v>
      </c>
      <c r="C7" s="28"/>
      <c r="D7" s="28"/>
    </row>
    <row r="8" spans="1:4">
      <c r="A8" s="28"/>
      <c r="B8" s="28"/>
      <c r="C8" s="28"/>
      <c r="D8" s="28"/>
    </row>
    <row r="9" spans="1:4">
      <c r="A9" s="28"/>
      <c r="B9" s="28"/>
      <c r="C9" s="28"/>
      <c r="D9" s="28"/>
    </row>
    <row r="10" spans="1:4" ht="30" customHeight="1">
      <c r="A10" s="8" t="s">
        <v>9</v>
      </c>
      <c r="B10" s="8" t="s">
        <v>220</v>
      </c>
      <c r="C10" s="8" t="s">
        <v>10</v>
      </c>
      <c r="D10" s="8" t="s">
        <v>221</v>
      </c>
    </row>
    <row r="11" spans="1:4">
      <c r="A11" s="28" t="s">
        <v>19</v>
      </c>
      <c r="B11" s="30">
        <v>14</v>
      </c>
      <c r="C11" s="29">
        <f>$B$4+B11</f>
        <v>46249</v>
      </c>
      <c r="D11" s="28" t="s">
        <v>222</v>
      </c>
    </row>
    <row r="12" spans="1:4">
      <c r="A12" s="28" t="s">
        <v>20</v>
      </c>
      <c r="B12" s="30">
        <v>30</v>
      </c>
      <c r="C12" s="29">
        <f>$B$4+B12</f>
        <v>46265</v>
      </c>
      <c r="D12" s="28" t="s">
        <v>223</v>
      </c>
    </row>
    <row r="13" spans="1:4">
      <c r="A13" s="28" t="s">
        <v>21</v>
      </c>
      <c r="B13" s="30">
        <v>60</v>
      </c>
      <c r="C13" s="29">
        <f>$B$4+B13</f>
        <v>46295</v>
      </c>
      <c r="D13" s="28" t="s">
        <v>224</v>
      </c>
    </row>
    <row r="14" spans="1:4">
      <c r="A14" s="28" t="s">
        <v>22</v>
      </c>
      <c r="B14" s="30">
        <v>90</v>
      </c>
      <c r="C14" s="29">
        <f>$B$4+B14</f>
        <v>46325</v>
      </c>
      <c r="D14" s="28" t="s">
        <v>225</v>
      </c>
    </row>
    <row r="15" spans="1:4">
      <c r="A15" s="28"/>
      <c r="B15" s="28"/>
      <c r="C15" s="28"/>
      <c r="D15" s="28"/>
    </row>
    <row r="16" spans="1:4">
      <c r="A16" s="28"/>
      <c r="B16" s="28"/>
      <c r="C16" s="28"/>
      <c r="D16" s="28"/>
    </row>
    <row r="17" spans="1:4" ht="30" customHeight="1">
      <c r="A17" s="8" t="s">
        <v>226</v>
      </c>
      <c r="C17" s="13" t="s">
        <v>227</v>
      </c>
    </row>
    <row r="18" spans="1:4">
      <c r="A18" s="28" t="s">
        <v>15</v>
      </c>
      <c r="B18" s="28"/>
      <c r="C18" s="28" t="s">
        <v>228</v>
      </c>
      <c r="D18" s="28"/>
    </row>
    <row r="19" spans="1:4">
      <c r="A19" s="28" t="s">
        <v>13</v>
      </c>
      <c r="B19" s="28"/>
      <c r="C19" s="28" t="s">
        <v>229</v>
      </c>
      <c r="D19" s="28"/>
    </row>
    <row r="20" spans="1:4">
      <c r="A20" s="28" t="s">
        <v>12</v>
      </c>
      <c r="B20" s="28"/>
      <c r="C20" s="28" t="s">
        <v>230</v>
      </c>
      <c r="D20" s="28"/>
    </row>
    <row r="21" spans="1:4">
      <c r="A21" s="28" t="s">
        <v>14</v>
      </c>
      <c r="B21" s="28"/>
      <c r="C21" s="28" t="s">
        <v>231</v>
      </c>
      <c r="D21" s="28"/>
    </row>
    <row r="22" spans="1:4">
      <c r="A22" s="28" t="s">
        <v>16</v>
      </c>
      <c r="B22" s="28"/>
      <c r="C22" s="28" t="s">
        <v>232</v>
      </c>
      <c r="D22" s="28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showGridLines="0" workbookViewId="0">
      <selection activeCell="A5" sqref="A5"/>
    </sheetView>
  </sheetViews>
  <sheetFormatPr defaultColWidth="8.7109375" defaultRowHeight="15"/>
  <cols>
    <col min="1" max="1" width="28" customWidth="1"/>
    <col min="2" max="2" width="12" customWidth="1"/>
    <col min="3" max="4" width="9" customWidth="1"/>
    <col min="5" max="5" width="12" customWidth="1"/>
    <col min="6" max="6" width="10" customWidth="1"/>
    <col min="7" max="7" width="12" customWidth="1"/>
    <col min="8" max="8" width="8" customWidth="1"/>
    <col min="9" max="10" width="10" customWidth="1"/>
    <col min="11" max="11" width="12" customWidth="1"/>
  </cols>
  <sheetData>
    <row r="1" spans="1:11" ht="20.25">
      <c r="A1" s="1" t="s">
        <v>0</v>
      </c>
    </row>
    <row r="2" spans="1:11">
      <c r="A2" s="2" t="s">
        <v>1</v>
      </c>
    </row>
    <row r="4" spans="1:11">
      <c r="A4" s="3" t="s">
        <v>2</v>
      </c>
      <c r="C4" s="3" t="s">
        <v>3</v>
      </c>
      <c r="E4" s="3" t="s">
        <v>4</v>
      </c>
      <c r="G4" s="3" t="s">
        <v>5</v>
      </c>
      <c r="I4" s="3" t="s">
        <v>6</v>
      </c>
      <c r="K4" s="3" t="s">
        <v>7</v>
      </c>
    </row>
    <row r="5" spans="1:11" ht="27.75" customHeight="1">
      <c r="A5" s="4" t="str">
        <f ca="1">Settings!B6&amp;" of 90"</f>
        <v>60 of 90</v>
      </c>
      <c r="C5" s="4" t="str">
        <f ca="1">Settings!B7</f>
        <v>60 Day</v>
      </c>
      <c r="E5" s="5">
        <f>IFERROR(COUNTIF(Tracker!$J$5:$J$96,"Done")/(COUNTA(Tracker!$J$5:$J$96)-COUNTIF(Tracker!$J$5:$J$96,"N/A")),0)</f>
        <v>0.13043478260869565</v>
      </c>
      <c r="G5" s="6">
        <f ca="1">COUNTIF(Tracker!$O$5:$O$96,"Overdue")</f>
        <v>43</v>
      </c>
      <c r="I5" s="4">
        <f>COUNTIF(Tracker!$J$5:$J$96,"Blocked")</f>
        <v>0</v>
      </c>
      <c r="K5" s="4" t="str">
        <f>COUNTIF(Training_Material!$G$5:$G$18,"Done")&amp;" of 14"</f>
        <v>0 of 14</v>
      </c>
    </row>
    <row r="8" spans="1:11" ht="15.75">
      <c r="A8" s="7" t="s">
        <v>8</v>
      </c>
    </row>
    <row r="9" spans="1:11" ht="30" customHeight="1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8" t="s">
        <v>15</v>
      </c>
      <c r="H9" s="8" t="s">
        <v>16</v>
      </c>
      <c r="I9" s="8" t="s">
        <v>17</v>
      </c>
      <c r="J9" s="8" t="s">
        <v>18</v>
      </c>
    </row>
    <row r="10" spans="1:11">
      <c r="A10" s="9" t="s">
        <v>19</v>
      </c>
      <c r="B10" s="10">
        <f>INDEX(Settings!$C$11:$C$14,MATCH(A10,Settings!$A$11:$A$14,0))</f>
        <v>46249</v>
      </c>
      <c r="C10" s="11">
        <f>COUNTIF(Tracker!$G$5:$G$96,A10)</f>
        <v>12</v>
      </c>
      <c r="D10" s="11">
        <f>COUNTIFS(Tracker!$G$5:$G$96,$A10,Tracker!$J$5:$J$96,"Done")</f>
        <v>12</v>
      </c>
      <c r="E10" s="11">
        <f>COUNTIFS(Tracker!$G$5:$G$96,$A10,Tracker!$J$5:$J$96,"In progress")</f>
        <v>0</v>
      </c>
      <c r="F10" s="11">
        <f>COUNTIFS(Tracker!$G$5:$G$96,$A10,Tracker!$J$5:$J$96,"Blocked")</f>
        <v>0</v>
      </c>
      <c r="G10" s="11">
        <f>COUNTIFS(Tracker!$G$5:$G$96,$A10,Tracker!$J$5:$J$96,"Not started")</f>
        <v>0</v>
      </c>
      <c r="H10" s="11">
        <f>COUNTIFS(Tracker!$G$5:$G$96,$A10,Tracker!$J$5:$J$96,"N/A")</f>
        <v>0</v>
      </c>
      <c r="I10" s="12">
        <f>IFERROR(D10/(C10-H10),0)</f>
        <v>1</v>
      </c>
      <c r="J10" s="11">
        <f ca="1">COUNTIFS(Tracker!$G$5:$G$96,$A10,Tracker!$O$5:$O$96,"Overdue")</f>
        <v>0</v>
      </c>
    </row>
    <row r="11" spans="1:11">
      <c r="A11" s="9" t="s">
        <v>20</v>
      </c>
      <c r="B11" s="10">
        <f>INDEX(Settings!$C$11:$C$14,MATCH(A11,Settings!$A$11:$A$14,0))</f>
        <v>46265</v>
      </c>
      <c r="C11" s="11">
        <f>COUNTIF(Tracker!$G$5:$G$96,A11)</f>
        <v>43</v>
      </c>
      <c r="D11" s="11">
        <f>COUNTIFS(Tracker!$G$5:$G$96,$A11,Tracker!$J$5:$J$96,"Done")</f>
        <v>0</v>
      </c>
      <c r="E11" s="11">
        <f>COUNTIFS(Tracker!$G$5:$G$96,$A11,Tracker!$J$5:$J$96,"In progress")</f>
        <v>0</v>
      </c>
      <c r="F11" s="11">
        <f>COUNTIFS(Tracker!$G$5:$G$96,$A11,Tracker!$J$5:$J$96,"Blocked")</f>
        <v>0</v>
      </c>
      <c r="G11" s="11">
        <f>COUNTIFS(Tracker!$G$5:$G$96,$A11,Tracker!$J$5:$J$96,"Not started")</f>
        <v>43</v>
      </c>
      <c r="H11" s="11">
        <f>COUNTIFS(Tracker!$G$5:$G$96,$A11,Tracker!$J$5:$J$96,"N/A")</f>
        <v>0</v>
      </c>
      <c r="I11" s="12">
        <f>IFERROR(D11/(C11-H11),0)</f>
        <v>0</v>
      </c>
      <c r="J11" s="11">
        <f ca="1">COUNTIFS(Tracker!$G$5:$G$96,$A11,Tracker!$O$5:$O$96,"Overdue")</f>
        <v>43</v>
      </c>
    </row>
    <row r="12" spans="1:11">
      <c r="A12" s="9" t="s">
        <v>21</v>
      </c>
      <c r="B12" s="10">
        <f>INDEX(Settings!$C$11:$C$14,MATCH(A12,Settings!$A$11:$A$14,0))</f>
        <v>46295</v>
      </c>
      <c r="C12" s="11">
        <f>COUNTIF(Tracker!$G$5:$G$96,A12)</f>
        <v>30</v>
      </c>
      <c r="D12" s="11">
        <f>COUNTIFS(Tracker!$G$5:$G$96,$A12,Tracker!$J$5:$J$96,"Done")</f>
        <v>0</v>
      </c>
      <c r="E12" s="11">
        <f>COUNTIFS(Tracker!$G$5:$G$96,$A12,Tracker!$J$5:$J$96,"In progress")</f>
        <v>0</v>
      </c>
      <c r="F12" s="11">
        <f>COUNTIFS(Tracker!$G$5:$G$96,$A12,Tracker!$J$5:$J$96,"Blocked")</f>
        <v>0</v>
      </c>
      <c r="G12" s="11">
        <f>COUNTIFS(Tracker!$G$5:$G$96,$A12,Tracker!$J$5:$J$96,"Not started")</f>
        <v>30</v>
      </c>
      <c r="H12" s="11">
        <f>COUNTIFS(Tracker!$G$5:$G$96,$A12,Tracker!$J$5:$J$96,"N/A")</f>
        <v>0</v>
      </c>
      <c r="I12" s="12">
        <f>IFERROR(D12/(C12-H12),0)</f>
        <v>0</v>
      </c>
      <c r="J12" s="11">
        <f ca="1">COUNTIFS(Tracker!$G$5:$G$96,$A12,Tracker!$O$5:$O$96,"Overdue")</f>
        <v>0</v>
      </c>
    </row>
    <row r="13" spans="1:11">
      <c r="A13" s="9" t="s">
        <v>22</v>
      </c>
      <c r="B13" s="10">
        <f>INDEX(Settings!$C$11:$C$14,MATCH(A13,Settings!$A$11:$A$14,0))</f>
        <v>46325</v>
      </c>
      <c r="C13" s="11">
        <f>COUNTIF(Tracker!$G$5:$G$96,A13)</f>
        <v>7</v>
      </c>
      <c r="D13" s="11">
        <f>COUNTIFS(Tracker!$G$5:$G$96,$A13,Tracker!$J$5:$J$96,"Done")</f>
        <v>0</v>
      </c>
      <c r="E13" s="11">
        <f>COUNTIFS(Tracker!$G$5:$G$96,$A13,Tracker!$J$5:$J$96,"In progress")</f>
        <v>0</v>
      </c>
      <c r="F13" s="11">
        <f>COUNTIFS(Tracker!$G$5:$G$96,$A13,Tracker!$J$5:$J$96,"Blocked")</f>
        <v>0</v>
      </c>
      <c r="G13" s="11">
        <f>COUNTIFS(Tracker!$G$5:$G$96,$A13,Tracker!$J$5:$J$96,"Not started")</f>
        <v>7</v>
      </c>
      <c r="H13" s="11">
        <f>COUNTIFS(Tracker!$G$5:$G$96,$A13,Tracker!$J$5:$J$96,"N/A")</f>
        <v>0</v>
      </c>
      <c r="I13" s="12">
        <f>IFERROR(D13/(C13-H13),0)</f>
        <v>0</v>
      </c>
      <c r="J13" s="11">
        <f ca="1">COUNTIFS(Tracker!$G$5:$G$96,$A13,Tracker!$O$5:$O$96,"Overdue")</f>
        <v>0</v>
      </c>
    </row>
    <row r="14" spans="1:11">
      <c r="A14" s="13" t="s">
        <v>23</v>
      </c>
      <c r="C14" s="14">
        <f t="shared" ref="C14:H14" si="0">SUM(C10:C13)</f>
        <v>92</v>
      </c>
      <c r="D14" s="14">
        <f t="shared" si="0"/>
        <v>12</v>
      </c>
      <c r="E14" s="14">
        <f t="shared" si="0"/>
        <v>0</v>
      </c>
      <c r="F14" s="14">
        <f t="shared" si="0"/>
        <v>0</v>
      </c>
      <c r="G14" s="14">
        <f t="shared" si="0"/>
        <v>80</v>
      </c>
      <c r="H14" s="14">
        <f t="shared" si="0"/>
        <v>0</v>
      </c>
      <c r="I14" s="15">
        <f>IFERROR(D14/(C14-H14),0)</f>
        <v>0.13043478260869565</v>
      </c>
      <c r="J14" s="14">
        <f ca="1">SUM(J10:J13)</f>
        <v>43</v>
      </c>
    </row>
    <row r="17" spans="1:10" ht="15.75">
      <c r="A17" s="7" t="s">
        <v>24</v>
      </c>
    </row>
    <row r="18" spans="1:10" ht="30" customHeight="1">
      <c r="A18" s="8" t="s">
        <v>25</v>
      </c>
      <c r="B18" s="8" t="s">
        <v>10</v>
      </c>
      <c r="C18" s="8" t="s">
        <v>11</v>
      </c>
      <c r="D18" s="8" t="s">
        <v>12</v>
      </c>
      <c r="E18" s="8" t="s">
        <v>13</v>
      </c>
      <c r="F18" s="8" t="s">
        <v>14</v>
      </c>
      <c r="G18" s="8" t="s">
        <v>15</v>
      </c>
      <c r="H18" s="8" t="s">
        <v>16</v>
      </c>
      <c r="I18" s="8" t="s">
        <v>17</v>
      </c>
      <c r="J18" s="8" t="s">
        <v>18</v>
      </c>
    </row>
    <row r="19" spans="1:10">
      <c r="A19" s="9" t="s">
        <v>26</v>
      </c>
      <c r="B19" s="11" t="s">
        <v>27</v>
      </c>
      <c r="C19" s="11">
        <f>COUNTIF(Tracker!$F$5:$F$96,A19)</f>
        <v>26</v>
      </c>
      <c r="D19" s="11">
        <f>COUNTIFS(Tracker!$F$5:$F$96,$A19,Tracker!$J$5:$J$96,"Done")</f>
        <v>2</v>
      </c>
      <c r="E19" s="11">
        <f>COUNTIFS(Tracker!$F$5:$F$96,$A19,Tracker!$J$5:$J$96,"In progress")</f>
        <v>0</v>
      </c>
      <c r="F19" s="11">
        <f>COUNTIFS(Tracker!$F$5:$F$96,$A19,Tracker!$J$5:$J$96,"Blocked")</f>
        <v>0</v>
      </c>
      <c r="G19" s="11">
        <f>COUNTIFS(Tracker!$F$5:$F$96,$A19,Tracker!$J$5:$J$96,"Not started")</f>
        <v>24</v>
      </c>
      <c r="H19" s="11">
        <f>COUNTIFS(Tracker!$F$5:$F$96,$A19,Tracker!$J$5:$J$96,"N/A")</f>
        <v>0</v>
      </c>
      <c r="I19" s="12">
        <f t="shared" ref="I19:I25" si="1">IFERROR(D19/(C19-H19),0)</f>
        <v>7.6923076923076927E-2</v>
      </c>
      <c r="J19" s="11">
        <f ca="1">COUNTIFS(Tracker!$F$5:$F$96,$A19,Tracker!$O$5:$O$96,"Overdue")</f>
        <v>9</v>
      </c>
    </row>
    <row r="20" spans="1:10">
      <c r="A20" s="9" t="s">
        <v>28</v>
      </c>
      <c r="B20" s="11" t="s">
        <v>27</v>
      </c>
      <c r="C20" s="11">
        <f>COUNTIF(Tracker!$F$5:$F$96,A20)</f>
        <v>18</v>
      </c>
      <c r="D20" s="11">
        <f>COUNTIFS(Tracker!$F$5:$F$96,$A20,Tracker!$J$5:$J$96,"Done")</f>
        <v>2</v>
      </c>
      <c r="E20" s="11">
        <f>COUNTIFS(Tracker!$F$5:$F$96,$A20,Tracker!$J$5:$J$96,"In progress")</f>
        <v>0</v>
      </c>
      <c r="F20" s="11">
        <f>COUNTIFS(Tracker!$F$5:$F$96,$A20,Tracker!$J$5:$J$96,"Blocked")</f>
        <v>0</v>
      </c>
      <c r="G20" s="11">
        <f>COUNTIFS(Tracker!$F$5:$F$96,$A20,Tracker!$J$5:$J$96,"Not started")</f>
        <v>16</v>
      </c>
      <c r="H20" s="11">
        <f>COUNTIFS(Tracker!$F$5:$F$96,$A20,Tracker!$J$5:$J$96,"N/A")</f>
        <v>0</v>
      </c>
      <c r="I20" s="12">
        <f t="shared" si="1"/>
        <v>0.1111111111111111</v>
      </c>
      <c r="J20" s="11">
        <f ca="1">COUNTIFS(Tracker!$F$5:$F$96,$A20,Tracker!$O$5:$O$96,"Overdue")</f>
        <v>9</v>
      </c>
    </row>
    <row r="21" spans="1:10">
      <c r="A21" s="9" t="s">
        <v>29</v>
      </c>
      <c r="B21" s="11" t="s">
        <v>27</v>
      </c>
      <c r="C21" s="11">
        <f>COUNTIF(Tracker!$F$5:$F$96,A21)</f>
        <v>14</v>
      </c>
      <c r="D21" s="11">
        <f>COUNTIFS(Tracker!$F$5:$F$96,$A21,Tracker!$J$5:$J$96,"Done")</f>
        <v>2</v>
      </c>
      <c r="E21" s="11">
        <f>COUNTIFS(Tracker!$F$5:$F$96,$A21,Tracker!$J$5:$J$96,"In progress")</f>
        <v>0</v>
      </c>
      <c r="F21" s="11">
        <f>COUNTIFS(Tracker!$F$5:$F$96,$A21,Tracker!$J$5:$J$96,"Blocked")</f>
        <v>0</v>
      </c>
      <c r="G21" s="11">
        <f>COUNTIFS(Tracker!$F$5:$F$96,$A21,Tracker!$J$5:$J$96,"Not started")</f>
        <v>12</v>
      </c>
      <c r="H21" s="11">
        <f>COUNTIFS(Tracker!$F$5:$F$96,$A21,Tracker!$J$5:$J$96,"N/A")</f>
        <v>0</v>
      </c>
      <c r="I21" s="12">
        <f t="shared" si="1"/>
        <v>0.14285714285714285</v>
      </c>
      <c r="J21" s="11">
        <f ca="1">COUNTIFS(Tracker!$F$5:$F$96,$A21,Tracker!$O$5:$O$96,"Overdue")</f>
        <v>8</v>
      </c>
    </row>
    <row r="22" spans="1:10">
      <c r="A22" s="9" t="s">
        <v>30</v>
      </c>
      <c r="B22" s="11" t="s">
        <v>27</v>
      </c>
      <c r="C22" s="11">
        <f>COUNTIF(Tracker!$F$5:$F$96,A22)</f>
        <v>9</v>
      </c>
      <c r="D22" s="11">
        <f>COUNTIFS(Tracker!$F$5:$F$96,$A22,Tracker!$J$5:$J$96,"Done")</f>
        <v>2</v>
      </c>
      <c r="E22" s="11">
        <f>COUNTIFS(Tracker!$F$5:$F$96,$A22,Tracker!$J$5:$J$96,"In progress")</f>
        <v>0</v>
      </c>
      <c r="F22" s="11">
        <f>COUNTIFS(Tracker!$F$5:$F$96,$A22,Tracker!$J$5:$J$96,"Blocked")</f>
        <v>0</v>
      </c>
      <c r="G22" s="11">
        <f>COUNTIFS(Tracker!$F$5:$F$96,$A22,Tracker!$J$5:$J$96,"Not started")</f>
        <v>7</v>
      </c>
      <c r="H22" s="11">
        <f>COUNTIFS(Tracker!$F$5:$F$96,$A22,Tracker!$J$5:$J$96,"N/A")</f>
        <v>0</v>
      </c>
      <c r="I22" s="12">
        <f t="shared" si="1"/>
        <v>0.22222222222222221</v>
      </c>
      <c r="J22" s="11">
        <f ca="1">COUNTIFS(Tracker!$F$5:$F$96,$A22,Tracker!$O$5:$O$96,"Overdue")</f>
        <v>5</v>
      </c>
    </row>
    <row r="23" spans="1:10">
      <c r="A23" s="9" t="s">
        <v>31</v>
      </c>
      <c r="B23" s="11" t="s">
        <v>27</v>
      </c>
      <c r="C23" s="11">
        <f>COUNTIF(Tracker!$F$5:$F$96,A23)</f>
        <v>18</v>
      </c>
      <c r="D23" s="11">
        <f>COUNTIFS(Tracker!$F$5:$F$96,$A23,Tracker!$J$5:$J$96,"Done")</f>
        <v>2</v>
      </c>
      <c r="E23" s="11">
        <f>COUNTIFS(Tracker!$F$5:$F$96,$A23,Tracker!$J$5:$J$96,"In progress")</f>
        <v>0</v>
      </c>
      <c r="F23" s="11">
        <f>COUNTIFS(Tracker!$F$5:$F$96,$A23,Tracker!$J$5:$J$96,"Blocked")</f>
        <v>0</v>
      </c>
      <c r="G23" s="11">
        <f>COUNTIFS(Tracker!$F$5:$F$96,$A23,Tracker!$J$5:$J$96,"Not started")</f>
        <v>16</v>
      </c>
      <c r="H23" s="11">
        <f>COUNTIFS(Tracker!$F$5:$F$96,$A23,Tracker!$J$5:$J$96,"N/A")</f>
        <v>0</v>
      </c>
      <c r="I23" s="12">
        <f t="shared" si="1"/>
        <v>0.1111111111111111</v>
      </c>
      <c r="J23" s="11">
        <f ca="1">COUNTIFS(Tracker!$F$5:$F$96,$A23,Tracker!$O$5:$O$96,"Overdue")</f>
        <v>9</v>
      </c>
    </row>
    <row r="24" spans="1:10">
      <c r="A24" s="9" t="s">
        <v>32</v>
      </c>
      <c r="B24" s="11" t="s">
        <v>27</v>
      </c>
      <c r="C24" s="11">
        <f>COUNTIF(Tracker!$F$5:$F$96,A24)</f>
        <v>0</v>
      </c>
      <c r="D24" s="11">
        <f>COUNTIFS(Tracker!$F$5:$F$96,$A24,Tracker!$J$5:$J$96,"Done")</f>
        <v>0</v>
      </c>
      <c r="E24" s="11">
        <f>COUNTIFS(Tracker!$F$5:$F$96,$A24,Tracker!$J$5:$J$96,"In progress")</f>
        <v>0</v>
      </c>
      <c r="F24" s="11">
        <f>COUNTIFS(Tracker!$F$5:$F$96,$A24,Tracker!$J$5:$J$96,"Blocked")</f>
        <v>0</v>
      </c>
      <c r="G24" s="11">
        <f>COUNTIFS(Tracker!$F$5:$F$96,$A24,Tracker!$J$5:$J$96,"Not started")</f>
        <v>0</v>
      </c>
      <c r="H24" s="11">
        <f>COUNTIFS(Tracker!$F$5:$F$96,$A24,Tracker!$J$5:$J$96,"N/A")</f>
        <v>0</v>
      </c>
      <c r="I24" s="12">
        <f t="shared" si="1"/>
        <v>0</v>
      </c>
      <c r="J24" s="11">
        <f>COUNTIFS(Tracker!$F$5:$F$96,$A24,Tracker!$O$5:$O$96,"Overdue")</f>
        <v>0</v>
      </c>
    </row>
    <row r="25" spans="1:10">
      <c r="A25" s="13" t="s">
        <v>23</v>
      </c>
      <c r="C25" s="14">
        <f t="shared" ref="C25:H25" si="2">SUM(C19:C24)</f>
        <v>85</v>
      </c>
      <c r="D25" s="14">
        <f t="shared" si="2"/>
        <v>10</v>
      </c>
      <c r="E25" s="14">
        <f t="shared" si="2"/>
        <v>0</v>
      </c>
      <c r="F25" s="14">
        <f t="shared" si="2"/>
        <v>0</v>
      </c>
      <c r="G25" s="14">
        <f t="shared" si="2"/>
        <v>75</v>
      </c>
      <c r="H25" s="14">
        <f t="shared" si="2"/>
        <v>0</v>
      </c>
      <c r="I25" s="15">
        <f t="shared" si="1"/>
        <v>0.11764705882352941</v>
      </c>
      <c r="J25" s="14">
        <f ca="1">SUM(J19:J24)</f>
        <v>40</v>
      </c>
    </row>
    <row r="28" spans="1:10">
      <c r="A28" s="16" t="s">
        <v>33</v>
      </c>
    </row>
  </sheetData>
  <conditionalFormatting sqref="I10:I13">
    <cfRule type="dataBar" priority="2">
      <dataBar>
        <cfvo type="num" val="0"/>
        <cfvo type="num" val="1"/>
        <color rgb="FF0E6B5C"/>
      </dataBar>
      <extLst xmlns:x14="http://schemas.microsoft.com/office/spreadsheetml/2009/9/main">
        <ext uri="{B025F937-C7B1-47D3-B67F-A62EFF666E3E}">
          <x14:id>{99E532F6-90CF-49F4-859E-3EDFA059BE51}</x14:id>
        </ext>
      </extLst>
    </cfRule>
  </conditionalFormatting>
  <conditionalFormatting sqref="J10:J13">
    <cfRule type="expression" dxfId="38" priority="3">
      <formula>J10&gt;0</formula>
    </cfRule>
  </conditionalFormatting>
  <conditionalFormatting sqref="I19:I24">
    <cfRule type="dataBar" priority="4">
      <dataBar>
        <cfvo type="num" val="0"/>
        <cfvo type="num" val="1"/>
        <color rgb="FF0E6B5C"/>
      </dataBar>
      <extLst xmlns:x14="http://schemas.microsoft.com/office/spreadsheetml/2009/9/main">
        <ext uri="{B025F937-C7B1-47D3-B67F-A62EFF666E3E}">
          <x14:id>{BF7AE2F3-951D-4790-ABBC-1CDDDDBE46E6}</x14:id>
        </ext>
      </extLst>
    </cfRule>
  </conditionalFormatting>
  <conditionalFormatting sqref="J19:J24">
    <cfRule type="expression" dxfId="37" priority="5">
      <formula>J19&gt;0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 xmlns:x14="http://schemas.microsoft.com/office/spreadsheetml/2009/9/main">
    <ext uri="{78C0D931-6437-407d-A8EE-F0AAD7539E65}">
      <x14:conditionalFormattings>
        <x14:conditionalFormatting xmlns:xm="http://schemas.microsoft.com/office/excel/2006/main">
          <x14:cfRule type="dataBar" id="{99E532F6-90CF-49F4-859E-3EDFA059BE5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0E6B5C"/>
              <x14:axisColor rgb="FF000000"/>
            </x14:dataBar>
          </x14:cfRule>
          <xm:sqref>I10:I13</xm:sqref>
        </x14:conditionalFormatting>
        <x14:conditionalFormatting xmlns:xm="http://schemas.microsoft.com/office/excel/2006/main">
          <x14:cfRule type="dataBar" id="{BF7AE2F3-951D-4790-ABBC-1CDDDDBE46E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0E6B5C"/>
              <x14:axisColor rgb="FF000000"/>
            </x14:dataBar>
          </x14:cfRule>
          <xm:sqref>I19:I24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Roadmap Reference</vt:lpstr>
      <vt:lpstr>Training_Material</vt:lpstr>
      <vt:lpstr>Tracker</vt:lpstr>
      <vt:lpstr>Evidence</vt:lpstr>
      <vt:lpstr>Settings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Kalra</cp:lastModifiedBy>
  <cp:revision>1</cp:revision>
  <dcterms:created xsi:type="dcterms:W3CDTF">2026-09-29T21:18:13Z</dcterms:created>
  <dcterms:modified xsi:type="dcterms:W3CDTF">2026-09-29T21:35:42Z</dcterms:modified>
  <dc:language>en-US</dc:language>
</cp:coreProperties>
</file>